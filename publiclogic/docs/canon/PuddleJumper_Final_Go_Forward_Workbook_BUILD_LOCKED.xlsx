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51b9b55cb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_Panel" sheetId="1" r:id="R57d2f0162dc5427c"/>
    <x:sheet xmlns:r="http://schemas.openxmlformats.org/officeDocument/2006/relationships" name="01_Final_Lanes" sheetId="2" r:id="R99e0dfe4d48b46e7"/>
    <x:sheet xmlns:r="http://schemas.openxmlformats.org/officeDocument/2006/relationships" name="02_Golden_Path" sheetId="3" r:id="R7decdedcb0da4e86"/>
    <x:sheet xmlns:r="http://schemas.openxmlformats.org/officeDocument/2006/relationships" name="03_90_Day_Execution" sheetId="4" r:id="R63434ee821cf4ed4"/>
    <x:sheet xmlns:r="http://schemas.openxmlformats.org/officeDocument/2006/relationships" name="04_CaseSpace_Contents" sheetId="5" r:id="R52916a1d630f48ce"/>
    <x:sheet xmlns:r="http://schemas.openxmlformats.org/officeDocument/2006/relationships" name="05_Tool_Connections" sheetId="6" r:id="Rfd2c4b6e64b64933"/>
    <x:sheet xmlns:r="http://schemas.openxmlformats.org/officeDocument/2006/relationships" name="06_Pricing_Adoption" sheetId="7" r:id="R0c5ebe7485e64844"/>
    <x:sheet xmlns:r="http://schemas.openxmlformats.org/officeDocument/2006/relationships" name="07_Risk_Watchlist" sheetId="8" r:id="R07886fa1ff184135"/>
    <x:sheet xmlns:r="http://schemas.openxmlformats.org/officeDocument/2006/relationships" name="08_Scope_Guards" sheetId="9" r:id="Rbcd50464e2474603"/>
    <x:sheet xmlns:r="http://schemas.openxmlformats.org/officeDocument/2006/relationships" name="09_Demo_Script" sheetId="10" r:id="R560321387bef454d"/>
    <x:sheet xmlns:r="http://schemas.openxmlformats.org/officeDocument/2006/relationships" name="10_Decision_Log" sheetId="11" r:id="R0ac089c32db34be5"/>
    <x:sheet xmlns:r="http://schemas.openxmlformats.org/officeDocument/2006/relationships" name="11_Launch_Locks" sheetId="12" r:id="Rf25d9b1234d1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0"/>
      <x:color rgb="FF334155"/>
      <x:name val="Carlito"/>
    </x:font>
    <x:font>
      <x:b/>
      <x:sz val="16"/>
      <x:color rgb="FF0F172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EF6F4"/>
      </x:patternFill>
    </x:fill>
    <x:fill>
      <x:patternFill patternType="solid">
        <x:fgColor rgb="FF0F766E"/>
      </x:patternFill>
    </x:fill>
    <x:fill>
      <x:patternFill patternType="solid">
        <x:fgColor rgb="FFD6A84F"/>
      </x:patternFill>
    </x:fill>
    <x:fill>
      <x:patternFill patternType="solid">
        <x:fgColor rgb="FFF3F4F6"/>
      </x:patternFill>
    </x:fill>
    <x:fill>
      <x:patternFill patternType="solid">
        <x:fgColor rgb="FFEAF7EF"/>
      </x:patternFill>
    </x:fill>
    <x:fill>
      <x:patternFill patternType="solid">
        <x:fgColor rgb="FFEAF2FF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cdb569cc342cd" /><Relationship Type="http://schemas.openxmlformats.org/officeDocument/2006/relationships/theme" Target="/xl/theme/theme1.xml" Id="R54d08e054c5c46d9" /><Relationship Type="http://schemas.openxmlformats.org/officeDocument/2006/relationships/sharedStrings" Target="/xl/sharedStrings.xml" Id="R79e78dc693bb4949" /><Relationship Type="http://schemas.openxmlformats.org/officeDocument/2006/relationships/worksheet" Target="/xl/worksheets/sheet1.xml" Id="R57d2f0162dc5427c" /><Relationship Type="http://schemas.openxmlformats.org/officeDocument/2006/relationships/worksheet" Target="/xl/worksheets/sheet2.xml" Id="R99e0dfe4d48b46e7" /><Relationship Type="http://schemas.openxmlformats.org/officeDocument/2006/relationships/worksheet" Target="/xl/worksheets/sheet3.xml" Id="R7decdedcb0da4e86" /><Relationship Type="http://schemas.openxmlformats.org/officeDocument/2006/relationships/worksheet" Target="/xl/worksheets/sheet4.xml" Id="R63434ee821cf4ed4" /><Relationship Type="http://schemas.openxmlformats.org/officeDocument/2006/relationships/worksheet" Target="/xl/worksheets/sheet5.xml" Id="R52916a1d630f48ce" /><Relationship Type="http://schemas.openxmlformats.org/officeDocument/2006/relationships/worksheet" Target="/xl/worksheets/sheet6.xml" Id="Rfd2c4b6e64b64933" /><Relationship Type="http://schemas.openxmlformats.org/officeDocument/2006/relationships/worksheet" Target="/xl/worksheets/sheet7.xml" Id="R0c5ebe7485e64844" /><Relationship Type="http://schemas.openxmlformats.org/officeDocument/2006/relationships/worksheet" Target="/xl/worksheets/sheet8.xml" Id="R07886fa1ff184135" /><Relationship Type="http://schemas.openxmlformats.org/officeDocument/2006/relationships/worksheet" Target="/xl/worksheets/sheet9.xml" Id="Rbcd50464e2474603" /><Relationship Type="http://schemas.openxmlformats.org/officeDocument/2006/relationships/worksheet" Target="/xl/worksheets/sheet10.xml" Id="R560321387bef454d" /><Relationship Type="http://schemas.openxmlformats.org/officeDocument/2006/relationships/worksheet" Target="/xl/worksheets/sheet11.xml" Id="R0ac089c32db34be5" /><Relationship Type="http://schemas.openxmlformats.org/officeDocument/2006/relationships/worksheet" Target="/xl/worksheets/sheet12.xml" Id="Rf25d9b1234d14f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60" hidden="0" customWidth="1"/>
    <x:col min="4" max="4" width="16" hidden="0" customWidth="1"/>
  </x:cols>
  <x:sheetData>
    <x:row r="1" ht="28" customHeight="1">
      <x:c r="A1" s="74" t="str">
        <x:v>PuddleJumper — Final Go Forward Workbook</x:v>
      </x:c>
    </x:row>
    <x:row r="2" ht="30" customHeight="1">
      <x:c r="A2" s="75" t="str">
        <x:v>Execution file for the governed seed-to-seal build. Keep the full playbook as reference; run from this workbook.</x:v>
      </x:c>
    </x:row>
    <x:row r="4" ht="26" customHeight="1">
      <x:c r="A4" s="30" t="str">
        <x:v>Decision</x:v>
      </x:c>
      <x:c r="B4" s="30" t="str">
        <x:v>Locked Answer</x:v>
      </x:c>
      <x:c r="C4" s="30" t="str">
        <x:v>Execution Meaning</x:v>
      </x:c>
    </x:row>
    <x:row r="5">
      <x:c r="A5" s="31" t="str">
        <x:v>Category</x:v>
      </x:c>
      <x:c r="B5" s="31" t="str">
        <x:v>Governed Work Runtime</x:v>
      </x:c>
      <x:c r="C5" s="31" t="str">
        <x:v>Public promise: a clean path, a live record, and a sealed handoff for messy work.</x:v>
      </x:c>
    </x:row>
    <x:row r="6">
      <x:c r="A6" s="31" t="str">
        <x:v>Thesis</x:v>
      </x:c>
      <x:c r="B6" s="31" t="str">
        <x:v>Proof is the product</x:v>
      </x:c>
      <x:c r="C6" s="31" t="str">
        <x:v>The UI is not the moat. The governed record, checks, packets, and discipline are the moat.</x:v>
      </x:c>
    </x:row>
    <x:row r="7">
      <x:c r="A7" s="31" t="str">
        <x:v>Build Order</x:v>
      </x:c>
      <x:c r="B7" s="31" t="str">
        <x:v>Golden Path first</x:v>
      </x:c>
      <x:c r="C7" s="31" t="str">
        <x:v>Build Seed → FORM → CaseSpace → PRR → Evidence → CAL/PRM → Digest → Packet → ARCHIEVE before lane depth.</x:v>
      </x:c>
    </x:row>
    <x:row r="8">
      <x:c r="A8" s="31" t="str">
        <x:v>Lanes</x:v>
      </x:c>
      <x:c r="B8" s="31" t="str">
        <x:v>STAY · MUNI · PROJECT · BIZ</x:v>
      </x:c>
      <x:c r="C8" s="31" t="str">
        <x:v>These are market skins. CORE is internal runtime. GRANT is a PROJECT module family.</x:v>
      </x:c>
    </x:row>
    <x:row r="9">
      <x:c r="A9" s="31" t="str">
        <x:v>Entry Modes</x:v>
      </x:c>
      <x:c r="B9" s="31" t="str">
        <x:v>Single · Duo · Team · Quick Review · Bridge · Live CaseSpace</x:v>
      </x:c>
      <x:c r="C9" s="31" t="str">
        <x:v>Single/Duo stand up a housed asset set, document set, and forms with teeth from a seed.</x:v>
      </x:c>
    </x:row>
    <x:row r="10">
      <x:c r="A10" s="31" t="str">
        <x:v>Client Edge</x:v>
      </x:c>
      <x:c r="B10" s="31" t="str">
        <x:v>Five tabs max</x:v>
      </x:c>
      <x:c r="C10" s="31" t="str">
        <x:v>Overview, Intake, Documents, Decisions, Next Steps. Internal depth maps to this surface.</x:v>
      </x:c>
    </x:row>
    <x:row r="11">
      <x:c r="A11" s="31" t="str">
        <x:v>Automation Rule</x:v>
      </x:c>
      <x:c r="B11" s="31" t="str">
        <x:v>Governed automation only</x:v>
      </x:c>
      <x:c r="C11" s="31" t="str">
        <x:v>Automation is allowed only when it writes back to the recordstream and strengthens proof.</x:v>
      </x:c>
    </x:row>
    <x:row r="12">
      <x:c r="A12" s="31" t="str">
        <x:v>Product Discipline</x:v>
      </x:c>
      <x:c r="B12" s="31" t="str">
        <x:v>3x Rule</x:v>
      </x:c>
      <x:c r="C12" s="31" t="str">
        <x:v>No new repeatable feature until the same need appears three times, except core Golden Path objects.</x:v>
      </x:c>
    </x:row>
    <x:row r="13">
      <x:c r="A13"/>
      <x:c r="B13"/>
      <x:c r="C13"/>
    </x:row>
    <x:row r="14">
      <x:c r="A14" s="31" t="str">
        <x:v>Launch Lock</x:v>
      </x:c>
      <x:c r="B14" s="31" t="str">
        <x:v>STAY demo scope</x:v>
      </x:c>
      <x:c r="C14" s="31" t="str">
        <x:v>Guestbook + Turnover + Owner View only; no PMS/channel manager/pricing engine.</x:v>
      </x:c>
      <x:c r="E14" s="36" t="str">
        <x:v>Execution Snapshot</x:v>
      </x:c>
    </x:row>
    <x:row r="15">
      <x:c r="A15" s="31" t="str">
        <x:v>Launch Lock</x:v>
      </x:c>
      <x:c r="B15" s="31" t="str">
        <x:v>Pricing anchors</x:v>
      </x:c>
      <x:c r="C15" s="31" t="str">
        <x:v>Single $29/mo; Duo $59/mo; Team $39/seat later only after 3 paying Duo requests.</x:v>
      </x:c>
      <x:c r="E15" s="41" t="str">
        <x:v>Open Critical Items</x:v>
      </x:c>
      <x:c r="F15" s="46" t="n">
        <x:f>COUNTIFS('03_90_Day_Execution'!F:F,"&lt;&gt;Done",'03_90_Day_Execution'!G:G,"Critical")</x:f>
        <x:v>11</x:v>
      </x:c>
      <x:c r="H15" s="36" t="str">
        <x:v>Status</x:v>
      </x:c>
      <x:c r="I15" s="36" t="str">
        <x:v>Count</x:v>
      </x:c>
    </x:row>
    <x:row r="16">
      <x:c r="A16" s="31" t="str">
        <x:v>Launch Lock</x:v>
      </x:c>
      <x:c r="B16" s="31" t="str">
        <x:v>Team guard</x:v>
      </x:c>
      <x:c r="C16" s="31" t="str">
        <x:v>Team is listed for adoption logic, but not built until the adoption-ladder 3x Rule is met.</x:v>
      </x:c>
      <x:c r="E16" s="41" t="str">
        <x:v>Golden Path Items</x:v>
      </x:c>
      <x:c r="F16" s="46" t="n">
        <x:f>COUNTIF('03_90_Day_Execution'!C:C,"Golden Path")</x:f>
        <x:v>11</x:v>
      </x:c>
      <x:c r="H16" s="41" t="str">
        <x:v>Not Started</x:v>
      </x:c>
      <x:c r="I16" s="52" t="n">
        <x:f>COUNTIF('03_90_Day_Execution'!F:F,"Not Started")</x:f>
        <x:v>18</x:v>
      </x:c>
    </x:row>
    <x:row r="17">
      <x:c r="A17" s="31" t="str">
        <x:v>Launch Lock</x:v>
      </x:c>
      <x:c r="B17" s="31" t="str">
        <x:v>Dashboard Composer</x:v>
      </x:c>
      <x:c r="C17" s="31" t="str">
        <x:v>Ships with CaseSpace Factory so five client tabs can render deep CaseSpace layers without bloat.</x:v>
      </x:c>
      <x:c r="E17" s="41" t="str">
        <x:v>Lane Skin Items</x:v>
      </x:c>
      <x:c r="F17" s="46" t="n">
        <x:f>COUNTIF('03_90_Day_Execution'!C:C,"Lane Skin")</x:f>
        <x:v>2</x:v>
      </x:c>
      <x:c r="H17" s="41" t="str">
        <x:v>In Progress</x:v>
      </x:c>
      <x:c r="I17" s="52" t="n">
        <x:f>COUNTIF('03_90_Day_Execution'!F:F,"In Progress")</x:f>
        <x:v>1</x:v>
      </x:c>
    </x:row>
    <x:row r="18">
      <x:c r="A18" s="31" t="str">
        <x:v>Launch Lock</x:v>
      </x:c>
      <x:c r="B18" s="31" t="str">
        <x:v>Golden Path priority</x:v>
      </x:c>
      <x:c r="C18" s="31" t="str">
        <x:v>No lane-specific depth before Seed-to-Seal works end-to-end.</x:v>
      </x:c>
      <x:c r="E18" s="41" t="str">
        <x:v>Active Risks</x:v>
      </x:c>
      <x:c r="F18" s="46" t="n">
        <x:f>COUNTIF('07_Risk_Watchlist'!G:G,"Active")</x:f>
        <x:v>8</x:v>
      </x:c>
      <x:c r="H18" s="41" t="str">
        <x:v>Blocked</x:v>
      </x:c>
      <x:c r="I18" s="52" t="n">
        <x:f>COUNTIF('03_90_Day_Execution'!F:F,"Blocked")</x:f>
        <x:v>0</x:v>
      </x:c>
    </x:row>
    <x:row r="19">
      <x:c r="H19" s="41" t="str">
        <x:v>Done</x:v>
      </x:c>
      <x:c r="I19" s="52" t="n">
        <x:f>COUNTIF('03_90_Day_Execution'!F:F,"Done")</x:f>
        <x:v>0</x:v>
      </x:c>
    </x:row>
    <x:row r="22" ht="26" customHeight="1">
      <x:c r="A22" s="30" t="str">
        <x:v>#</x:v>
      </x:c>
      <x:c r="B22" s="30" t="str">
        <x:v>Go / No-Go Test</x:v>
      </x:c>
      <x:c r="C22" s="30" t="str">
        <x:v>Must Be True Before</x:v>
      </x:c>
      <x:c r="D22" s="30" t="str">
        <x:v>Status</x:v>
      </x:c>
    </x:row>
    <x:row r="23">
      <x:c r="A23" s="31" t="str">
        <x:v>1</x:v>
      </x:c>
      <x:c r="B23" s="31" t="str">
        <x:v>Seed/source profile can be created from logo/domain/listing/folder/email thread</x:v>
      </x:c>
      <x:c r="C23" s="31" t="str">
        <x:v>Single/Duo launch</x:v>
      </x:c>
      <x:c r="D23" s="31" t="str">
        <x:v>Not Started</x:v>
      </x:c>
    </x:row>
    <x:row r="24">
      <x:c r="A24" s="31" t="str">
        <x:v>2</x:v>
      </x:c>
      <x:c r="B24" s="31" t="str">
        <x:v>Universal FORM opens a CaseSpace and PRR recordstream</x:v>
      </x:c>
      <x:c r="C24" s="31" t="str">
        <x:v>Public demo</x:v>
      </x:c>
      <x:c r="D24" s="31" t="str">
        <x:v>Not Started</x:v>
      </x:c>
    </x:row>
    <x:row r="25">
      <x:c r="A25" s="31" t="str">
        <x:v>3</x:v>
      </x:c>
      <x:c r="B25" s="31" t="str">
        <x:v>Evidence, decision, CAL, and PRM objects write back to PRR</x:v>
      </x:c>
      <x:c r="C25" s="31" t="str">
        <x:v>Governance claim</x:v>
      </x:c>
      <x:c r="D25" s="31" t="str">
        <x:v>Not Started</x:v>
      </x:c>
    </x:row>
    <x:row r="26">
      <x:c r="A26" s="31" t="str">
        <x:v>4</x:v>
      </x:c>
      <x:c r="B26" s="31" t="str">
        <x:v>Five-tab edge renders deep CaseSpace without bloat</x:v>
      </x:c>
      <x:c r="C26" s="31" t="str">
        <x:v>Client onboarding</x:v>
      </x:c>
      <x:c r="D26" s="31" t="str">
        <x:v>Not Started</x:v>
      </x:c>
    </x:row>
    <x:row r="27">
      <x:c r="A27" s="31" t="str">
        <x:v>5</x:v>
      </x:c>
      <x:c r="B27" s="31" t="str">
        <x:v>ARCHIEVE produces a useful sealed handoff packet</x:v>
      </x:c>
      <x:c r="C27" s="31" t="str">
        <x:v>Paid recurring push</x:v>
      </x:c>
      <x:c r="D27" s="31" t="str">
        <x:v>Not Started</x:v>
      </x:c>
    </x:row>
  </x:sheetData>
  <x:mergeCells>
    <x:mergeCell ref="A1:J1"/>
    <x:mergeCell ref="A2:J2"/>
    <x:mergeCell ref="E14:J14"/>
  </x:mergeCells>
  <x:dataValidations count="1">
    <x:dataValidation type="list" sqref="D23:D27">
      <x:formula1>"Not Started,In Progress,Blocked,Ready,Passed"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44" hidden="0" customWidth="1"/>
    <x:col min="5" max="5" width="24" hidden="0" customWidth="1"/>
    <x:col min="6" max="6" width="34" hidden="0" customWidth="1"/>
    <x:col min="7" max="7" width="42" hidden="0" customWidth="1"/>
  </x:cols>
  <x:sheetData>
    <x:row r="1" ht="28" customHeight="1">
      <x:c r="A1" s="5" t="str">
        <x:v>Final Lanes and Entry Modes</x:v>
      </x:c>
    </x:row>
    <x:row r="2" ht="30" customHeight="1">
      <x:c r="A2" s="13" t="str">
        <x:v>Lanes are markets. Modules are repeatable processes. Single/Duo are entry modes. CORE is internal.</x:v>
      </x:c>
    </x:row>
    <x:row r="4" ht="26" customHeight="1">
      <x:c r="A4" s="30" t="str">
        <x:v>Lane / Mode</x:v>
      </x:c>
      <x:c r="B4" s="30" t="str">
        <x:v>Type</x:v>
      </x:c>
      <x:c r="C4" s="30" t="str">
        <x:v>Public Promise</x:v>
      </x:c>
      <x:c r="D4" s="30" t="str">
        <x:v>Core Modules</x:v>
      </x:c>
      <x:c r="E4" s="30" t="str">
        <x:v>Default Buyer / User</x:v>
      </x:c>
      <x:c r="F4" s="30" t="str">
        <x:v>Primary Output</x:v>
      </x:c>
      <x:c r="G4" s="30" t="str">
        <x:v>Scope Guardrail</x:v>
      </x:c>
    </x:row>
    <x:row r="5">
      <x:c r="A5" s="31" t="str">
        <x:v>STAY</x:v>
      </x:c>
      <x:c r="B5" s="31" t="str">
        <x:v>Public lane</x:v>
      </x:c>
      <x:c r="C5" s="31" t="str">
        <x:v>Run the property cleanly, prove readiness, and keep guests/owners in sync.</x:v>
      </x:c>
      <x:c r="D5" s="31" t="str">
        <x:v>Guestbook; Turnover; Maintenance; Incident/Damage; Owner Ops</x:v>
      </x:c>
      <x:c r="E5" s="31" t="str">
        <x:v>Owner, cohost, cleaner, guest</x:v>
      </x:c>
      <x:c r="F5" s="31" t="str">
        <x:v>Guestbook, turnover proof, owner digest, incident packet</x:v>
      </x:c>
      <x:c r="G5" s="31" t="str">
        <x:v>Do not become a full PMS unless 3x proof supports it.</x:v>
      </x:c>
    </x:row>
    <x:row r="6">
      <x:c r="A6" s="31" t="str">
        <x:v>MUNI</x:v>
      </x:c>
      <x:c r="B6" s="31" t="str">
        <x:v>Public lane</x:v>
      </x:c>
      <x:c r="C6" s="31" t="str">
        <x:v>Keep public work lawful, traceable, and closed with a clean record.</x:v>
      </x:c>
      <x:c r="D6" s="31" t="str">
        <x:v>PRR Light; PRR Full; Permit &amp; Bridge; Resident Request; Board/Decision Log; Procurement File; SOP Hub</x:v>
      </x:c>
      <x:c r="E6" s="31" t="str">
        <x:v>Clerk, manager, department, board</x:v>
      </x:c>
      <x:c r="F6" s="31" t="str">
        <x:v>Lawful file, response record, decision record, closeout packet</x:v>
      </x:c>
      <x:c r="G6" s="31" t="str">
        <x:v>Do not replace ERP/clerk software/legal counsel.</x:v>
      </x:c>
    </x:row>
    <x:row r="7">
      <x:c r="A7" s="31" t="str">
        <x:v>PROJECT</x:v>
      </x:c>
      <x:c r="B7" s="31" t="str">
        <x:v>Public lane</x:v>
      </x:c>
      <x:c r="C7" s="31" t="str">
        <x:v>Turn messy project development into a funder-ready, partner-ready, decision-ready record.</x:v>
      </x:c>
      <x:c r="D7" s="31" t="str">
        <x:v>Funder Readiness; VDR Health; Partner Evidence; Permitting Path; Capital Project Governance; Grant Readiness</x:v>
      </x:c>
      <x:c r="E7" s="31" t="str">
        <x:v>Project sponsor, developer, grant team, partner group</x:v>
      </x:c>
      <x:c r="F7" s="31" t="str">
        <x:v>Evidence map, funding path, data-room gap list, handoff packet</x:v>
      </x:c>
      <x:c r="G7" s="31" t="str">
        <x:v>GRANT is a module family; do not become broker/engineer by default.</x:v>
      </x:c>
    </x:row>
    <x:row r="8">
      <x:c r="A8" s="31" t="str">
        <x:v>BIZ</x:v>
      </x:c>
      <x:c r="B8" s="31" t="str">
        <x:v>Public lane</x:v>
      </x:c>
      <x:c r="C8" s="31" t="str">
        <x:v>Give every client engagement a path, a record, and a clean handoff.</x:v>
      </x:c>
      <x:c r="D8" s="31" t="str">
        <x:v>Client Intake; Scope Builder; Evidence Request; Decision Log; Deliverable Tracker; Weekly Digest; Closeout Packet</x:v>
      </x:c>
      <x:c r="E8" s="31" t="str">
        <x:v>Consultant, professional service provider, small firm</x:v>
      </x:c>
      <x:c r="F8" s="31" t="str">
        <x:v>Client path, decision record, deliverable packet, invoice support</x:v>
      </x:c>
      <x:c r="G8" s="31" t="str">
        <x:v>Do not become generic CRM/accounting/project management tool.</x:v>
      </x:c>
    </x:row>
    <x:row r="9">
      <x:c r="A9" s="31" t="str">
        <x:v>CORE</x:v>
      </x:c>
      <x:c r="B9" s="31" t="str">
        <x:v>Internal foundation</x:v>
      </x:c>
      <x:c r="C9" s="31" t="str">
        <x:v>Every lane runs on the same governed runtime.</x:v>
      </x:c>
      <x:c r="D9" s="31" t="str">
        <x:v>FORM; CaseSpace; PRR; CAL; PRM; ARCHIEVE; VAULT; Module Maker; 3x Tracker</x:v>
      </x:c>
      <x:c r="E9" s="31" t="str">
        <x:v>Internal builder/operator</x:v>
      </x:c>
      <x:c r="F9" s="31" t="str">
        <x:v>Reusable governed runtime objects</x:v>
      </x:c>
      <x:c r="G9" s="31" t="str">
        <x:v>Do not sell CORE as a public lane.</x:v>
      </x:c>
    </x:row>
    <x:row r="10">
      <x:c r="A10" s="31" t="str">
        <x:v>Single</x:v>
      </x:c>
      <x:c r="B10" s="31" t="str">
        <x:v>Entry mode</x:v>
      </x:c>
      <x:c r="C10" s="31" t="str">
        <x:v>Upload a seed and get a housed asset set, document set, and forms with teeth.</x:v>
      </x:c>
      <x:c r="D10" s="31" t="str">
        <x:v>Seed/Profile; Asset Set; Document Set; Starter CaseSpace</x:v>
      </x:c>
      <x:c r="E10" s="31" t="str">
        <x:v>Solo operator</x:v>
      </x:c>
      <x:c r="F10" s="31" t="str">
        <x:v>Ready-to-use starter operating set</x:v>
      </x:c>
      <x:c r="G10" s="31" t="str">
        <x:v>Keep self-serve and simple.</x:v>
      </x:c>
    </x:row>
    <x:row r="11">
      <x:c r="A11" s="31" t="str">
        <x:v>Duo</x:v>
      </x:c>
      <x:c r="B11" s="31" t="str">
        <x:v>Entry mode</x:v>
      </x:c>
      <x:c r="C11" s="31" t="str">
        <x:v>Two people can share work, roles, documents, decisions, and next steps.</x:v>
      </x:c>
      <x:c r="D11" s="31" t="str">
        <x:v>Shared roles; permission surface; evidence flow; digest</x:v>
      </x:c>
      <x:c r="E11" s="31" t="str">
        <x:v>Two-person team/couple/partners</x:v>
      </x:c>
      <x:c r="F11" s="31" t="str">
        <x:v>Shared operating CaseSpace</x:v>
      </x:c>
      <x:c r="G11" s="31" t="str">
        <x:v>Do not turn into enterprise team product.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44" hidden="0" customWidth="1"/>
    <x:col min="5" max="5" width="32" hidden="0" customWidth="1"/>
    <x:col min="6" max="6" width="24" hidden="0" customWidth="1"/>
    <x:col min="7" max="7" width="42" hidden="0" customWidth="1"/>
    <x:col min="8" max="8" width="12" hidden="0" customWidth="1"/>
  </x:cols>
  <x:sheetData>
    <x:row r="1" ht="28" customHeight="1">
      <x:c r="A1" s="5" t="str">
        <x:v>Golden Path — Build This First</x:v>
      </x:c>
    </x:row>
    <x:row r="2" ht="30" customHeight="1">
      <x:c r="A2" s="13" t="str">
        <x:v>One working seed-to-seal path is the product proof. Everything else is module skinning.</x:v>
      </x:c>
    </x:row>
    <x:row r="4" ht="26" customHeight="1">
      <x:c r="A4" s="30" t="str">
        <x:v>Step</x:v>
      </x:c>
      <x:c r="B4" s="30" t="str">
        <x:v>Stage</x:v>
      </x:c>
      <x:c r="C4" s="30" t="str">
        <x:v>Trigger</x:v>
      </x:c>
      <x:c r="D4" s="30" t="str">
        <x:v>PJ System Action</x:v>
      </x:c>
      <x:c r="E4" s="30" t="str">
        <x:v>Client Sees</x:v>
      </x:c>
      <x:c r="F4" s="30" t="str">
        <x:v>Record Written</x:v>
      </x:c>
      <x:c r="G4" s="30" t="str">
        <x:v>Acceptance Test</x:v>
      </x:c>
      <x:c r="H4" s="30" t="str">
        <x:v>Priority</x:v>
      </x:c>
    </x:row>
    <x:row r="5">
      <x:c r="A5" s="31" t="str">
        <x:v>GP-001</x:v>
      </x:c>
      <x:c r="B5" s="31" t="str">
        <x:v>Seed / Source Profile</x:v>
      </x:c>
      <x:c r="C5" s="31" t="str">
        <x:v>User uploads or links logo, domain, listing, Drive folder, Gmail thread, repo, or spreadsheet</x:v>
      </x:c>
      <x:c r="D5" s="31" t="str">
        <x:v>Create Source Profile and pull useful identity/document/process clues</x:v>
      </x:c>
      <x:c r="E5" s="31" t="str">
        <x:v>A starter profile with confirm/edit prompts</x:v>
      </x:c>
      <x:c r="F5" s="31" t="str">
        <x:v>Source Profile entry</x:v>
      </x:c>
      <x:c r="G5" s="31" t="str">
        <x:v>Seed produces visible asset/doc/process starting point</x:v>
      </x:c>
      <x:c r="H5" s="31" t="str">
        <x:v>Critical</x:v>
      </x:c>
    </x:row>
    <x:row r="6">
      <x:c r="A6" s="31" t="str">
        <x:v>GP-002</x:v>
      </x:c>
      <x:c r="B6" s="31" t="str">
        <x:v>Universal FORM</x:v>
      </x:c>
      <x:c r="C6" s="31" t="str">
        <x:v>User answers shortest possible intake</x:v>
      </x:c>
      <x:c r="D6" s="31" t="str">
        <x:v>Capture role, problem, desired outcome, source, deadline, owner, lane guess</x:v>
      </x:c>
      <x:c r="E6" s="31" t="str">
        <x:v>One clean form</x:v>
      </x:c>
      <x:c r="F6" s="31" t="str">
        <x:v>FORM entry</x:v>
      </x:c>
      <x:c r="G6" s="31" t="str">
        <x:v>FORM can open a valid CaseSpace</x:v>
      </x:c>
      <x:c r="H6" s="31" t="str">
        <x:v>Critical</x:v>
      </x:c>
    </x:row>
    <x:row r="7">
      <x:c r="A7" s="31" t="str">
        <x:v>GP-003</x:v>
      </x:c>
      <x:c r="B7" s="31" t="str">
        <x:v>CaseSpace Factory</x:v>
      </x:c>
      <x:c r="C7" s="31" t="str">
        <x:v>FORM submitted</x:v>
      </x:c>
      <x:c r="D7" s="31" t="str">
        <x:v>Create CaseSpace shell with five tabs and internal object registry</x:v>
      </x:c>
      <x:c r="E7" s="31" t="str">
        <x:v>Overview, Intake, Documents, Decisions, Next Steps</x:v>
      </x:c>
      <x:c r="F7" s="31" t="str">
        <x:v>CaseSpace opened</x:v>
      </x:c>
      <x:c r="G7" s="31" t="str">
        <x:v>CaseSpace exists without manual setup</x:v>
      </x:c>
      <x:c r="H7" s="31" t="str">
        <x:v>Critical</x:v>
      </x:c>
    </x:row>
    <x:row r="8">
      <x:c r="A8" s="31" t="str">
        <x:v>GP-004</x:v>
      </x:c>
      <x:c r="B8" s="31" t="str">
        <x:v>PRR / Recordstream</x:v>
      </x:c>
      <x:c r="C8" s="31" t="str">
        <x:v>CaseSpace opens</x:v>
      </x:c>
      <x:c r="D8" s="31" t="str">
        <x:v>Start append-only thread of meaningful actions</x:v>
      </x:c>
      <x:c r="E8" s="31" t="str">
        <x:v>Plain-language history summary</x:v>
      </x:c>
      <x:c r="F8" s="31" t="str">
        <x:v>PRR opened</x:v>
      </x:c>
      <x:c r="G8" s="31" t="str">
        <x:v>Every major action writes to PRR</x:v>
      </x:c>
      <x:c r="H8" s="31" t="str">
        <x:v>Critical</x:v>
      </x:c>
    </x:row>
    <x:row r="9">
      <x:c r="A9" s="31" t="str">
        <x:v>GP-005</x:v>
      </x:c>
      <x:c r="B9" s="31" t="str">
        <x:v>Evidence Request</x:v>
      </x:c>
      <x:c r="C9" s="31" t="str">
        <x:v>Needed proof is missing</x:v>
      </x:c>
      <x:c r="D9" s="31" t="str">
        <x:v>Create request, assign owner, set status, route response</x:v>
      </x:c>
      <x:c r="E9" s="31" t="str">
        <x:v>What is missing and who owes it</x:v>
      </x:c>
      <x:c r="F9" s="31" t="str">
        <x:v>Evidence request + response</x:v>
      </x:c>
      <x:c r="G9" s="31" t="str">
        <x:v>Requester can submit proof and update status</x:v>
      </x:c>
      <x:c r="H9" s="31" t="str">
        <x:v>Critical</x:v>
      </x:c>
    </x:row>
    <x:row r="10">
      <x:c r="A10" s="31" t="str">
        <x:v>GP-006</x:v>
      </x:c>
      <x:c r="B10" s="31" t="str">
        <x:v>Decision Log</x:v>
      </x:c>
      <x:c r="C10" s="31" t="str">
        <x:v>A choice is made or needed</x:v>
      </x:c>
      <x:c r="D10" s="31" t="str">
        <x:v>Capture decision, basis, owner, authority, source, next action</x:v>
      </x:c>
      <x:c r="E10" s="31" t="str">
        <x:v>Decision and why it matters</x:v>
      </x:c>
      <x:c r="F10" s="31" t="str">
        <x:v>Decision record</x:v>
      </x:c>
      <x:c r="G10" s="31" t="str">
        <x:v>Decision has owner, basis, and next action</x:v>
      </x:c>
      <x:c r="H10" s="31" t="str">
        <x:v>High</x:v>
      </x:c>
    </x:row>
    <x:row r="11">
      <x:c r="A11" s="31" t="str">
        <x:v>GP-007</x:v>
      </x:c>
      <x:c r="B11" s="31" t="str">
        <x:v>CAL Gate</x:v>
      </x:c>
      <x:c r="C11" s="31" t="str">
        <x:v>Work tries to advance</x:v>
      </x:c>
      <x:c r="D11" s="31" t="str">
        <x:v>Check role, authority, sequence, permission, and next-move legitimacy</x:v>
      </x:c>
      <x:c r="E11" s="31" t="str">
        <x:v>A plain next-action/gate message</x:v>
      </x:c>
      <x:c r="F11" s="31" t="str">
        <x:v>CAL check result</x:v>
      </x:c>
      <x:c r="G11" s="31" t="str">
        <x:v>Wrong actor/action is flagged before advancement</x:v>
      </x:c>
      <x:c r="H11" s="31" t="str">
        <x:v>Critical</x:v>
      </x:c>
    </x:row>
    <x:row r="12">
      <x:c r="A12" s="31" t="str">
        <x:v>GP-008</x:v>
      </x:c>
      <x:c r="B12" s="31" t="str">
        <x:v>PRM Check</x:v>
      </x:c>
      <x:c r="C12" s="31" t="str">
        <x:v>Closeout or milestone requested</x:v>
      </x:c>
      <x:c r="D12" s="31" t="str">
        <x:v>Check proof, risk, completeness, missing items</x:v>
      </x:c>
      <x:c r="E12" s="31" t="str">
        <x:v>Readiness as action list</x:v>
      </x:c>
      <x:c r="F12" s="31" t="str">
        <x:v>PRM check result</x:v>
      </x:c>
      <x:c r="G12" s="31" t="str">
        <x:v>Missing proof is surfaced before closeout</x:v>
      </x:c>
      <x:c r="H12" s="31" t="str">
        <x:v>Critical</x:v>
      </x:c>
    </x:row>
    <x:row r="13">
      <x:c r="A13" s="31" t="str">
        <x:v>GP-009</x:v>
      </x:c>
      <x:c r="B13" s="31" t="str">
        <x:v>Weekly Digest</x:v>
      </x:c>
      <x:c r="C13" s="31" t="str">
        <x:v>Time/event threshold reached</x:v>
      </x:c>
      <x:c r="D13" s="31" t="str">
        <x:v>Summarize what changed, what is missing, what is next</x:v>
      </x:c>
      <x:c r="E13" s="31" t="str">
        <x:v>Digest/Next Steps</x:v>
      </x:c>
      <x:c r="F13" s="31" t="str">
        <x:v>Digest sent/generated</x:v>
      </x:c>
      <x:c r="G13" s="31" t="str">
        <x:v>Digest is useful without exposing machine room</x:v>
      </x:c>
      <x:c r="H13" s="31" t="str">
        <x:v>High</x:v>
      </x:c>
    </x:row>
    <x:row r="14">
      <x:c r="A14" s="31" t="str">
        <x:v>GP-010</x:v>
      </x:c>
      <x:c r="B14" s="31" t="str">
        <x:v>Dashboard Update</x:v>
      </x:c>
      <x:c r="C14" s="31" t="str">
        <x:v>Record changes</x:v>
      </x:c>
      <x:c r="D14" s="31" t="str">
        <x:v>Map internal objects to five-tab client edge</x:v>
      </x:c>
      <x:c r="E14" s="31" t="str">
        <x:v>Clean status and next steps</x:v>
      </x:c>
      <x:c r="F14" s="31" t="str">
        <x:v>View update record</x:v>
      </x:c>
      <x:c r="G14" s="31" t="str">
        <x:v>Deep CaseSpace renders without bloat</x:v>
      </x:c>
      <x:c r="H14" s="31" t="str">
        <x:v>Critical</x:v>
      </x:c>
    </x:row>
    <x:row r="15">
      <x:c r="A15" s="31" t="str">
        <x:v>GP-011</x:v>
      </x:c>
      <x:c r="B15" s="31" t="str">
        <x:v>Packet Builder</x:v>
      </x:c>
      <x:c r="C15" s="31" t="str">
        <x:v>Closeout or handoff begins</x:v>
      </x:c>
      <x:c r="D15" s="31" t="str">
        <x:v>Compile intake, evidence, decisions, status, open items, and handoff</x:v>
      </x:c>
      <x:c r="E15" s="31" t="str">
        <x:v>Reviewable packet draft</x:v>
      </x:c>
      <x:c r="F15" s="31" t="str">
        <x:v>Packet draft</x:v>
      </x:c>
      <x:c r="G15" s="31" t="str">
        <x:v>Packet proves outcome instead of dumping data</x:v>
      </x:c>
      <x:c r="H15" s="31" t="str">
        <x:v>Critical</x:v>
      </x:c>
    </x:row>
    <x:row r="16">
      <x:c r="A16" s="31" t="str">
        <x:v>GP-012</x:v>
      </x:c>
      <x:c r="B16" s="31" t="str">
        <x:v>ARCHIEVE Seal</x:v>
      </x:c>
      <x:c r="C16" s="31" t="str">
        <x:v>Packet accepted / work closes</x:v>
      </x:c>
      <x:c r="D16" s="31" t="str">
        <x:v>Seal packet with date, contents, authority, and next-state note</x:v>
      </x:c>
      <x:c r="E16" s="31" t="str">
        <x:v>Sealed handoff</x:v>
      </x:c>
      <x:c r="F16" s="31" t="str">
        <x:v>ARCHIEVE seal</x:v>
      </x:c>
      <x:c r="G16" s="31" t="str">
        <x:v>Closed CaseSpace has a sealed record</x:v>
      </x:c>
      <x:c r="H16" s="31" t="str">
        <x:v>Critical</x:v>
      </x:c>
    </x:row>
  </x:sheetData>
  <x:mergeCells>
    <x:mergeCell ref="A1:J1"/>
    <x:mergeCell ref="A2:J2"/>
  </x:mergeCells>
  <x:dataValidations count="1">
    <x:dataValidation type="list" sqref="H5:H16">
      <x:formula1>"Critical,High,Medium,Low"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34" hidden="0" customWidth="1"/>
    <x:col min="5" max="5" width="16" hidden="0" customWidth="1"/>
    <x:col min="6" max="6" width="15" hidden="0" customWidth="1"/>
    <x:col min="7" max="7" width="12" hidden="0" customWidth="1"/>
    <x:col min="8" max="8" width="45" hidden="0" customWidth="1"/>
    <x:col min="9" max="9" width="24" hidden="0" customWidth="1"/>
    <x:col min="10" max="10" width="22" hidden="0" customWidth="1"/>
    <x:col min="11" max="11" width="36" hidden="0" customWidth="1"/>
  </x:cols>
  <x:sheetData>
    <x:row r="1" ht="28" customHeight="1">
      <x:c r="A1" s="74" t="str">
        <x:v>90-Day Execution Plan</x:v>
      </x:c>
    </x:row>
    <x:row r="2" ht="30" customHeight="1">
      <x:c r="A2" s="75" t="str">
        <x:v>Run this sheet weekly. Do not build lane-specific depth until Golden Path reaches the seal.</x:v>
      </x:c>
    </x:row>
    <x:row r="4" ht="26" customHeight="1">
      <x:c r="A4" s="71" t="str">
        <x:v>Phase</x:v>
      </x:c>
      <x:c r="B4" s="71" t="str">
        <x:v>Window</x:v>
      </x:c>
      <x:c r="C4" s="71" t="str">
        <x:v>Workstream</x:v>
      </x:c>
      <x:c r="D4" s="71" t="str">
        <x:v>Build Item</x:v>
      </x:c>
      <x:c r="E4" s="71" t="str">
        <x:v>Owner</x:v>
      </x:c>
      <x:c r="F4" s="71" t="str">
        <x:v>Status</x:v>
      </x:c>
      <x:c r="G4" s="71" t="str">
        <x:v>Priority</x:v>
      </x:c>
      <x:c r="H4" s="71" t="str">
        <x:v>Acceptance Test</x:v>
      </x:c>
      <x:c r="I4" s="71" t="str">
        <x:v>Output</x:v>
      </x:c>
      <x:c r="J4" s="71" t="str">
        <x:v>Dependencies</x:v>
      </x:c>
      <x:c r="K4" s="71" t="str">
        <x:v>Notes</x:v>
      </x:c>
    </x:row>
    <x:row r="5">
      <x:c r="A5" s="31" t="str">
        <x:v>0</x:v>
      </x:c>
      <x:c r="B5" s="31" t="str">
        <x:v>Day 0-3</x:v>
      </x:c>
      <x:c r="C5" s="31" t="str">
        <x:v>Doctrine</x:v>
      </x:c>
      <x:c r="D5" s="31" t="str">
        <x:v>Freeze names, lanes, pricing assumptions, and public promise</x:v>
      </x:c>
      <x:c r="E5" s="31" t="str">
        <x:v>Nate</x:v>
      </x:c>
      <x:c r="F5" s="31" t="str">
        <x:v>In Progress</x:v>
      </x:c>
      <x:c r="G5" s="31" t="str">
        <x:v>Critical</x:v>
      </x:c>
      <x:c r="H5" s="31" t="str">
        <x:v>Public pitch and internal doctrine are consistent</x:v>
      </x:c>
      <x:c r="I5" s="31" t="str">
        <x:v>Doctrine card</x:v>
      </x:c>
      <x:c r="J5" s="31" t="str">
        <x:v>None</x:v>
      </x:c>
      <x:c r="K5" s="31" t="str">
        <x:v>Governance internally; clarity/proof/closure publicly.</x:v>
      </x:c>
    </x:row>
    <x:row r="6">
      <x:c r="A6" s="31" t="str">
        <x:v>1</x:v>
      </x:c>
      <x:c r="B6" s="31" t="str">
        <x:v>Week 1</x:v>
      </x:c>
      <x:c r="C6" s="31" t="str">
        <x:v>Golden Path</x:v>
      </x:c>
      <x:c r="D6" s="31" t="str">
        <x:v>GP-001 Seed / Source Profile intake</x:v>
      </x:c>
      <x:c r="E6" s="31" t="str">
        <x:v>Builder</x:v>
      </x:c>
      <x:c r="F6" s="31" t="str">
        <x:v>Not Started</x:v>
      </x:c>
      <x:c r="G6" s="31" t="str">
        <x:v>Critical</x:v>
      </x:c>
      <x:c r="H6" s="31" t="str">
        <x:v>Seed creates a useful starter profile</x:v>
      </x:c>
      <x:c r="I6" s="31" t="str">
        <x:v>Source Profile</x:v>
      </x:c>
      <x:c r="J6" s="31" t="str">
        <x:v>Doctrine lock</x:v>
      </x:c>
      <x:c r="K6" s="31" t="str">
        <x:v>Single/Duo front door.</x:v>
      </x:c>
    </x:row>
    <x:row r="7">
      <x:c r="A7" s="31" t="str">
        <x:v>1</x:v>
      </x:c>
      <x:c r="B7" s="31" t="str">
        <x:v>Week 1</x:v>
      </x:c>
      <x:c r="C7" s="31" t="str">
        <x:v>Golden Path</x:v>
      </x:c>
      <x:c r="D7" s="31" t="str">
        <x:v>GP-002 Universal FORM</x:v>
      </x:c>
      <x:c r="E7" s="31" t="str">
        <x:v>Builder</x:v>
      </x:c>
      <x:c r="F7" s="31" t="str">
        <x:v>Not Started</x:v>
      </x:c>
      <x:c r="G7" s="31" t="str">
        <x:v>Critical</x:v>
      </x:c>
      <x:c r="H7" s="31" t="str">
        <x:v>One form opens the work with enough context</x:v>
      </x:c>
      <x:c r="I7" s="31" t="str">
        <x:v>Universal FORM</x:v>
      </x:c>
      <x:c r="J7" s="31" t="str">
        <x:v>Source Profile</x:v>
      </x:c>
      <x:c r="K7" s="31" t="str">
        <x:v>Keep form short.</x:v>
      </x:c>
    </x:row>
    <x:row r="8">
      <x:c r="A8" s="31" t="str">
        <x:v>1</x:v>
      </x:c>
      <x:c r="B8" s="31" t="str">
        <x:v>Week 2</x:v>
      </x:c>
      <x:c r="C8" s="31" t="str">
        <x:v>Golden Path</x:v>
      </x:c>
      <x:c r="D8" s="31" t="str">
        <x:v>GP-003 CaseSpace Factory</x:v>
      </x:c>
      <x:c r="E8" s="31" t="str">
        <x:v>Builder</x:v>
      </x:c>
      <x:c r="F8" s="31" t="str">
        <x:v>Not Started</x:v>
      </x:c>
      <x:c r="G8" s="31" t="str">
        <x:v>Critical</x:v>
      </x:c>
      <x:c r="H8" s="31" t="str">
        <x:v>FORM creates a five-tab CaseSpace with object registry</x:v>
      </x:c>
      <x:c r="I8" s="31" t="str">
        <x:v>Starter CaseSpace</x:v>
      </x:c>
      <x:c r="J8" s="31" t="str">
        <x:v>Universal FORM</x:v>
      </x:c>
      <x:c r="K8" s="31" t="str">
        <x:v>No lane complexity yet.</x:v>
      </x:c>
    </x:row>
    <x:row r="9">
      <x:c r="A9" s="31" t="str">
        <x:v>2</x:v>
      </x:c>
      <x:c r="B9" s="31" t="str">
        <x:v>Week 2-3</x:v>
      </x:c>
      <x:c r="C9" s="31" t="str">
        <x:v>Golden Path</x:v>
      </x:c>
      <x:c r="D9" s="31" t="str">
        <x:v>GP-004 PRR / Recordstream opens automatically</x:v>
      </x:c>
      <x:c r="E9" s="31" t="str">
        <x:v>Builder</x:v>
      </x:c>
      <x:c r="F9" s="31" t="str">
        <x:v>Not Started</x:v>
      </x:c>
      <x:c r="G9" s="31" t="str">
        <x:v>Critical</x:v>
      </x:c>
      <x:c r="H9" s="31" t="str">
        <x:v>Every major action writes to recordstream</x:v>
      </x:c>
      <x:c r="I9" s="31" t="str">
        <x:v>Append-only PRR</x:v>
      </x:c>
      <x:c r="J9" s="31" t="str">
        <x:v>CaseSpace Factory</x:v>
      </x:c>
      <x:c r="K9" s="31" t="str">
        <x:v>Proof starts here.</x:v>
      </x:c>
    </x:row>
    <x:row r="10">
      <x:c r="A10" s="31" t="str">
        <x:v>2</x:v>
      </x:c>
      <x:c r="B10" s="31" t="str">
        <x:v>Week 3</x:v>
      </x:c>
      <x:c r="C10" s="31" t="str">
        <x:v>Golden Path</x:v>
      </x:c>
      <x:c r="D10" s="31" t="str">
        <x:v>GP-005 Evidence Request object</x:v>
      </x:c>
      <x:c r="E10" s="31" t="str">
        <x:v>Builder</x:v>
      </x:c>
      <x:c r="F10" s="31" t="str">
        <x:v>Not Started</x:v>
      </x:c>
      <x:c r="G10" s="31" t="str">
        <x:v>Critical</x:v>
      </x:c>
      <x:c r="H10" s="31" t="str">
        <x:v>Request/response/status writes back to PRR</x:v>
      </x:c>
      <x:c r="I10" s="31" t="str">
        <x:v>Evidence flow</x:v>
      </x:c>
      <x:c r="J10" s="31" t="str">
        <x:v>PRR</x:v>
      </x:c>
      <x:c r="K10" s="31" t="str">
        <x:v>Powers all lanes.</x:v>
      </x:c>
    </x:row>
    <x:row r="11">
      <x:c r="A11" s="31" t="str">
        <x:v>3</x:v>
      </x:c>
      <x:c r="B11" s="31" t="str">
        <x:v>Week 4</x:v>
      </x:c>
      <x:c r="C11" s="31" t="str">
        <x:v>Golden Path</x:v>
      </x:c>
      <x:c r="D11" s="31" t="str">
        <x:v>GP-006 Decision Log object</x:v>
      </x:c>
      <x:c r="E11" s="31" t="str">
        <x:v>Builder</x:v>
      </x:c>
      <x:c r="F11" s="31" t="str">
        <x:v>Not Started</x:v>
      </x:c>
      <x:c r="G11" s="31" t="str">
        <x:v>High</x:v>
      </x:c>
      <x:c r="H11" s="31" t="str">
        <x:v>Decision records owner, basis, date, source, next action</x:v>
      </x:c>
      <x:c r="I11" s="31" t="str">
        <x:v>Decision Log</x:v>
      </x:c>
      <x:c r="J11" s="31" t="str">
        <x:v>PRR</x:v>
      </x:c>
      <x:c r="K11" s="31" t="str">
        <x:v>No overbuilt approvals yet.</x:v>
      </x:c>
    </x:row>
    <x:row r="12">
      <x:c r="A12" s="31" t="str">
        <x:v>3</x:v>
      </x:c>
      <x:c r="B12" s="31" t="str">
        <x:v>Week 5</x:v>
      </x:c>
      <x:c r="C12" s="31" t="str">
        <x:v>Golden Path</x:v>
      </x:c>
      <x:c r="D12" s="31" t="str">
        <x:v>GP-007 CAL Gate MVP</x:v>
      </x:c>
      <x:c r="E12" s="31" t="str">
        <x:v>Builder</x:v>
      </x:c>
      <x:c r="F12" s="31" t="str">
        <x:v>Not Started</x:v>
      </x:c>
      <x:c r="G12" s="31" t="str">
        <x:v>Critical</x:v>
      </x:c>
      <x:c r="H12" s="31" t="str">
        <x:v>Who can make next move is visible and recorded</x:v>
      </x:c>
      <x:c r="I12" s="31" t="str">
        <x:v>CAL Gate</x:v>
      </x:c>
      <x:c r="J12" s="31" t="str">
        <x:v>Decision Log</x:v>
      </x:c>
      <x:c r="K12" s="31" t="str">
        <x:v>Simple role/authority rules first.</x:v>
      </x:c>
    </x:row>
    <x:row r="13">
      <x:c r="A13" s="31" t="str">
        <x:v>3</x:v>
      </x:c>
      <x:c r="B13" s="31" t="str">
        <x:v>Week 5-6</x:v>
      </x:c>
      <x:c r="C13" s="31" t="str">
        <x:v>Golden Path</x:v>
      </x:c>
      <x:c r="D13" s="31" t="str">
        <x:v>GP-008 PRM Check MVP</x:v>
      </x:c>
      <x:c r="E13" s="31" t="str">
        <x:v>Builder</x:v>
      </x:c>
      <x:c r="F13" s="31" t="str">
        <x:v>Not Started</x:v>
      </x:c>
      <x:c r="G13" s="31" t="str">
        <x:v>Critical</x:v>
      </x:c>
      <x:c r="H13" s="31" t="str">
        <x:v>Missing proof and risks surface before closeout</x:v>
      </x:c>
      <x:c r="I13" s="31" t="str">
        <x:v>PRM Check</x:v>
      </x:c>
      <x:c r="J13" s="31" t="str">
        <x:v>Evidence flow</x:v>
      </x:c>
      <x:c r="K13" s="31" t="str">
        <x:v>Readiness as action list.</x:v>
      </x:c>
    </x:row>
    <x:row r="14">
      <x:c r="A14" s="31" t="str">
        <x:v>4</x:v>
      </x:c>
      <x:c r="B14" s="31" t="str">
        <x:v>Week 6-7</x:v>
      </x:c>
      <x:c r="C14" s="31" t="str">
        <x:v>Client Edge</x:v>
      </x:c>
      <x:c r="D14" s="31" t="str">
        <x:v>Dashboard Composer / Edge Mapper</x:v>
      </x:c>
      <x:c r="E14" s="31" t="str">
        <x:v>Builder</x:v>
      </x:c>
      <x:c r="F14" s="31" t="str">
        <x:v>Not Started</x:v>
      </x:c>
      <x:c r="G14" s="31" t="str">
        <x:v>Critical</x:v>
      </x:c>
      <x:c r="H14" s="31" t="str">
        <x:v>20+ layers render into five tabs</x:v>
      </x:c>
      <x:c r="I14" s="31" t="str">
        <x:v>Five-tab client view</x:v>
      </x:c>
      <x:c r="J14" s="31" t="str">
        <x:v>CaseSpace + PRR</x:v>
      </x:c>
      <x:c r="K14" s="31" t="str">
        <x:v>Ship with CaseSpace, not after.</x:v>
      </x:c>
    </x:row>
    <x:row r="15">
      <x:c r="A15" s="31" t="str">
        <x:v>4</x:v>
      </x:c>
      <x:c r="B15" s="31" t="str">
        <x:v>Week 7</x:v>
      </x:c>
      <x:c r="C15" s="31" t="str">
        <x:v>Golden Path</x:v>
      </x:c>
      <x:c r="D15" s="31" t="str">
        <x:v>Weekly Digest / Next Steps generator</x:v>
      </x:c>
      <x:c r="E15" s="31" t="str">
        <x:v>Builder</x:v>
      </x:c>
      <x:c r="F15" s="31" t="str">
        <x:v>Not Started</x:v>
      </x:c>
      <x:c r="G15" s="31" t="str">
        <x:v>High</x:v>
      </x:c>
      <x:c r="H15" s="31" t="str">
        <x:v>Digest shows changes, missing items, and next actions</x:v>
      </x:c>
      <x:c r="I15" s="31" t="str">
        <x:v>Weekly Digest</x:v>
      </x:c>
      <x:c r="J15" s="31" t="str">
        <x:v>PRR + Edge Mapper</x:v>
      </x:c>
      <x:c r="K15" s="31" t="str">
        <x:v>Client clarity layer.</x:v>
      </x:c>
    </x:row>
    <x:row r="16">
      <x:c r="A16" s="31" t="str">
        <x:v>5</x:v>
      </x:c>
      <x:c r="B16" s="31" t="str">
        <x:v>Week 8-9</x:v>
      </x:c>
      <x:c r="C16" s="31" t="str">
        <x:v>Golden Path</x:v>
      </x:c>
      <x:c r="D16" s="31" t="str">
        <x:v>Packet Builder MVP</x:v>
      </x:c>
      <x:c r="E16" s="31" t="str">
        <x:v>Builder</x:v>
      </x:c>
      <x:c r="F16" s="31" t="str">
        <x:v>Not Started</x:v>
      </x:c>
      <x:c r="G16" s="31" t="str">
        <x:v>Critical</x:v>
      </x:c>
      <x:c r="H16" s="31" t="str">
        <x:v>Packet compiles proof, decisions, status, and handoff</x:v>
      </x:c>
      <x:c r="I16" s="31" t="str">
        <x:v>Handoff Packet</x:v>
      </x:c>
      <x:c r="J16" s="31" t="str">
        <x:v>PRR + PRM</x:v>
      </x:c>
      <x:c r="K16" s="31" t="str">
        <x:v>Not a report dump.</x:v>
      </x:c>
    </x:row>
    <x:row r="17">
      <x:c r="A17" s="31" t="str">
        <x:v>5</x:v>
      </x:c>
      <x:c r="B17" s="31" t="str">
        <x:v>Week 9-10</x:v>
      </x:c>
      <x:c r="C17" s="31" t="str">
        <x:v>Golden Path</x:v>
      </x:c>
      <x:c r="D17" s="31" t="str">
        <x:v>ARCHIEVE Seal MVP</x:v>
      </x:c>
      <x:c r="E17" s="31" t="str">
        <x:v>Builder</x:v>
      </x:c>
      <x:c r="F17" s="31" t="str">
        <x:v>Not Started</x:v>
      </x:c>
      <x:c r="G17" s="31" t="str">
        <x:v>Critical</x:v>
      </x:c>
      <x:c r="H17" s="31" t="str">
        <x:v>CaseSpace can close with sealed packet</x:v>
      </x:c>
      <x:c r="I17" s="31" t="str">
        <x:v>ARCHIEVE Seal</x:v>
      </x:c>
      <x:c r="J17" s="31" t="str">
        <x:v>Packet Builder</x:v>
      </x:c>
      <x:c r="K17" s="31" t="str">
        <x:v>Product moment.</x:v>
      </x:c>
    </x:row>
    <x:row r="18">
      <x:c r="A18" s="31" t="str">
        <x:v>6</x:v>
      </x:c>
      <x:c r="B18" s="31" t="str">
        <x:v>Week 10-11</x:v>
      </x:c>
      <x:c r="C18" s="31" t="str">
        <x:v>Adoption</x:v>
      </x:c>
      <x:c r="D18" s="31" t="str">
        <x:v>Single Starter pilot</x:v>
      </x:c>
      <x:c r="E18" s="31" t="str">
        <x:v>Nate</x:v>
      </x:c>
      <x:c r="F18" s="31" t="str">
        <x:v>Not Started</x:v>
      </x:c>
      <x:c r="G18" s="31" t="str">
        <x:v>High</x:v>
      </x:c>
      <x:c r="H18" s="31" t="str">
        <x:v>Single user can seed, govern, request proof, and seal</x:v>
      </x:c>
      <x:c r="I18" s="31" t="str">
        <x:v>Single demo</x:v>
      </x:c>
      <x:c r="J18" s="31" t="str">
        <x:v>Golden Path MVP</x:v>
      </x:c>
      <x:c r="K18" s="31" t="str">
        <x:v>$29/mo assumption.</x:v>
      </x:c>
    </x:row>
    <x:row r="19">
      <x:c r="A19" s="31" t="str">
        <x:v>6</x:v>
      </x:c>
      <x:c r="B19" s="31" t="str">
        <x:v>Week 11-12</x:v>
      </x:c>
      <x:c r="C19" s="31" t="str">
        <x:v>Adoption</x:v>
      </x:c>
      <x:c r="D19" s="31" t="str">
        <x:v>Duo Starter pilot</x:v>
      </x:c>
      <x:c r="E19" s="31" t="str">
        <x:v>Nate + Allie</x:v>
      </x:c>
      <x:c r="F19" s="31" t="str">
        <x:v>Not Started</x:v>
      </x:c>
      <x:c r="G19" s="31" t="str">
        <x:v>High</x:v>
      </x:c>
      <x:c r="H19" s="31" t="str">
        <x:v>Two users can share roles, tasks, evidence, docs, decisions</x:v>
      </x:c>
      <x:c r="I19" s="31" t="str">
        <x:v>Duo demo</x:v>
      </x:c>
      <x:c r="J19" s="31" t="str">
        <x:v>Single Starter</x:v>
      </x:c>
      <x:c r="K19" s="31" t="str">
        <x:v>$59/mo assumption.</x:v>
      </x:c>
    </x:row>
    <x:row r="20">
      <x:c r="A20" s="31" t="str">
        <x:v>7</x:v>
      </x:c>
      <x:c r="B20" s="31" t="str">
        <x:v>Week 12</x:v>
      </x:c>
      <x:c r="C20" s="31" t="str">
        <x:v>Lane Skin</x:v>
      </x:c>
      <x:c r="D20" s="31" t="str">
        <x:v>STAY thin demo skin: Guestbook + Turnover + Owner View</x:v>
      </x:c>
      <x:c r="E20" s="31" t="str">
        <x:v>Nate</x:v>
      </x:c>
      <x:c r="F20" s="31" t="str">
        <x:v>Not Started</x:v>
      </x:c>
      <x:c r="G20" s="31" t="str">
        <x:v>Medium</x:v>
      </x:c>
      <x:c r="H20" s="31" t="str">
        <x:v>Guestbook renders view-only; cleaner completes checklist with photos/status; owner sees arrivals/checkouts/issues from same recordstream</x:v>
      </x:c>
      <x:c r="I20" s="31" t="str">
        <x:v>STAY three-surface demo</x:v>
      </x:c>
      <x:c r="J20" s="31" t="str">
        <x:v>Duo Starter</x:v>
      </x:c>
      <x:c r="K20" s="31" t="str">
        <x:v>Do not build PMS, channel manager, pricing engine, or broad guest automation.</x:v>
      </x:c>
    </x:row>
    <x:row r="21">
      <x:c r="A21" s="31" t="str">
        <x:v>7</x:v>
      </x:c>
      <x:c r="B21" s="31" t="str">
        <x:v>Week 12-13</x:v>
      </x:c>
      <x:c r="C21" s="31" t="str">
        <x:v>Lane Skin</x:v>
      </x:c>
      <x:c r="D21" s="31" t="str">
        <x:v>MUNI PRR Light demo skin</x:v>
      </x:c>
      <x:c r="E21" s="31" t="str">
        <x:v>Nate</x:v>
      </x:c>
      <x:c r="F21" s="31" t="str">
        <x:v>Not Started</x:v>
      </x:c>
      <x:c r="G21" s="31" t="str">
        <x:v>Medium</x:v>
      </x:c>
      <x:c r="H21" s="31" t="str">
        <x:v>A PRR request tracks, responds, and closes</x:v>
      </x:c>
      <x:c r="I21" s="31" t="str">
        <x:v>MUNI demo</x:v>
      </x:c>
      <x:c r="J21" s="31" t="str">
        <x:v>Golden Path MVP</x:v>
      </x:c>
      <x:c r="K21" s="31" t="str">
        <x:v>No full case management.</x:v>
      </x:c>
    </x:row>
    <x:row r="22">
      <x:c r="A22" s="31" t="str">
        <x:v>8</x:v>
      </x:c>
      <x:c r="B22" s="31" t="str">
        <x:v>Week 13</x:v>
      </x:c>
      <x:c r="C22" s="31" t="str">
        <x:v>Sales</x:v>
      </x:c>
      <x:c r="D22" s="31" t="str">
        <x:v>Offer ladder and demo script</x:v>
      </x:c>
      <x:c r="E22" s="31" t="str">
        <x:v>Nate</x:v>
      </x:c>
      <x:c r="F22" s="31" t="str">
        <x:v>Not Started</x:v>
      </x:c>
      <x:c r="G22" s="31" t="str">
        <x:v>High</x:v>
      </x:c>
      <x:c r="H22" s="31" t="str">
        <x:v>Explain Single, Duo, Quick Review, Bridge, Live CaseSpace in five minutes</x:v>
      </x:c>
      <x:c r="I22" s="31" t="str">
        <x:v>Demo script</x:v>
      </x:c>
      <x:c r="J22" s="31" t="str">
        <x:v>Pilots</x:v>
      </x:c>
      <x:c r="K22" s="31" t="str">
        <x:v>Sell proof and closure.</x:v>
      </x:c>
    </x:row>
    <x:row r="23">
      <x:c r="A23" s="31" t="str">
        <x:v>9</x:v>
      </x:c>
      <x:c r="B23" s="31" t="str">
        <x:v>Post-pilot only</x:v>
      </x:c>
      <x:c r="C23" s="31" t="str">
        <x:v>Adoption Guard</x:v>
      </x:c>
      <x:c r="D23" s="31" t="str">
        <x:v>Team offer gating decision</x:v>
      </x:c>
      <x:c r="E23" s="31" t="str">
        <x:v>Nate</x:v>
      </x:c>
      <x:c r="F23" s="31" t="str">
        <x:v>Not Started</x:v>
      </x:c>
      <x:c r="G23" s="31" t="str">
        <x:v>Medium</x:v>
      </x:c>
      <x:c r="H23" s="31" t="str">
        <x:v>At least three paying Duo users request Team-specific capabilities</x:v>
      </x:c>
      <x:c r="I23" s="31" t="str">
        <x:v>Team build/no-build decision</x:v>
      </x:c>
      <x:c r="J23" s="31" t="str">
        <x:v>Duo pilots</x:v>
      </x:c>
      <x:c r="K23" s="31" t="str">
        <x:v>Do not build Team before 3x demand.</x:v>
      </x:c>
    </x:row>
  </x:sheetData>
  <x:mergeCells>
    <x:mergeCell ref="A1:K1"/>
    <x:mergeCell ref="A2:K2"/>
  </x:mergeCells>
  <x:dataValidations count="2">
    <x:dataValidation type="list" sqref="F5:F23">
      <x:formula1>"Not Started,In Progress,Blocked,Done,Parked"</x:formula1>
    </x:dataValidation>
    <x:dataValidation type="list" sqref="G5:G23">
      <x:formula1>"Critical,High,Medium,Low"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18" hidden="0" customWidth="1"/>
    <x:col min="5" max="5" width="42" hidden="0" customWidth="1"/>
    <x:col min="6" max="6" width="16" hidden="0" customWidth="1"/>
  </x:cols>
  <x:sheetData>
    <x:row r="1" ht="28" customHeight="1">
      <x:c r="A1" s="5" t="str">
        <x:v>CaseSpace Object Map</x:v>
      </x:c>
    </x:row>
    <x:row r="2" ht="30" customHeight="1">
      <x:c r="A2" s="13" t="str">
        <x:v>Everything can live in a CaseSpace, but the client only sees what maps cleanly to the five-tab edge.</x:v>
      </x:c>
    </x:row>
    <x:row r="4" ht="26" customHeight="1">
      <x:c r="A4" s="30" t="str">
        <x:v>Object / Layer</x:v>
      </x:c>
      <x:c r="B4" s="30" t="str">
        <x:v>What It Holds</x:v>
      </x:c>
      <x:c r="C4" s="30" t="str">
        <x:v>Client Tab Mapping</x:v>
      </x:c>
      <x:c r="D4" s="30" t="str">
        <x:v>Editable By Client?</x:v>
      </x:c>
      <x:c r="E4" s="30" t="str">
        <x:v>Why It Matters</x:v>
      </x:c>
      <x:c r="F4" s="30" t="str">
        <x:v>Build Timing</x:v>
      </x:c>
    </x:row>
    <x:row r="5">
      <x:c r="A5" s="31" t="str">
        <x:v>Identity / Brand Kit</x:v>
      </x:c>
      <x:c r="B5" s="31" t="str">
        <x:v>Logo, name, address, listing/domain clues, identity card</x:v>
      </x:c>
      <x:c r="C5" s="31" t="str">
        <x:v>Overview</x:v>
      </x:c>
      <x:c r="D5" s="31" t="str">
        <x:v>Limited</x:v>
      </x:c>
      <x:c r="E5" s="31" t="str">
        <x:v>Makes Single/Duo immediately useful</x:v>
      </x:c>
      <x:c r="F5" s="31" t="str">
        <x:v>Build now</x:v>
      </x:c>
    </x:row>
    <x:row r="6">
      <x:c r="A6" s="31" t="str">
        <x:v>Source Profile / Pull Map</x:v>
      </x:c>
      <x:c r="B6" s="31" t="str">
        <x:v>Seed links, folders, emails, listings, repos, source extraction notes</x:v>
      </x:c>
      <x:c r="C6" s="31" t="str">
        <x:v>Intake</x:v>
      </x:c>
      <x:c r="D6" s="31" t="str">
        <x:v>Limited</x:v>
      </x:c>
      <x:c r="E6" s="31" t="str">
        <x:v>Turns existing mess into structured start</x:v>
      </x:c>
      <x:c r="F6" s="31" t="str">
        <x:v>Build now</x:v>
      </x:c>
    </x:row>
    <x:row r="7">
      <x:c r="A7" s="31" t="str">
        <x:v>FORM Intake</x:v>
      </x:c>
      <x:c r="B7" s="31" t="str">
        <x:v>Submitted facts, roles, desired outcomes, deadlines</x:v>
      </x:c>
      <x:c r="C7" s="31" t="str">
        <x:v>Intake</x:v>
      </x:c>
      <x:c r="D7" s="31" t="str">
        <x:v>Yes</x:v>
      </x:c>
      <x:c r="E7" s="31" t="str">
        <x:v>Opens CaseSpace with enough context</x:v>
      </x:c>
      <x:c r="F7" s="31" t="str">
        <x:v>Build now</x:v>
      </x:c>
    </x:row>
    <x:row r="8">
      <x:c r="A8" s="31" t="str">
        <x:v>Documents</x:v>
      </x:c>
      <x:c r="B8" s="31" t="str">
        <x:v>Files, links, source docs, versions, purpose/status</x:v>
      </x:c>
      <x:c r="C8" s="31" t="str">
        <x:v>Documents</x:v>
      </x:c>
      <x:c r="D8" s="31" t="str">
        <x:v>Upload/comment</x:v>
      </x:c>
      <x:c r="E8" s="31" t="str">
        <x:v>Houses the document set</x:v>
      </x:c>
      <x:c r="F8" s="31" t="str">
        <x:v>Build now</x:v>
      </x:c>
    </x:row>
    <x:row r="9">
      <x:c r="A9" s="31" t="str">
        <x:v>Evidence</x:v>
      </x:c>
      <x:c r="B9" s="31" t="str">
        <x:v>Requests, responses, proof files, status, owner</x:v>
      </x:c>
      <x:c r="C9" s="31" t="str">
        <x:v>Documents / Next Steps</x:v>
      </x:c>
      <x:c r="D9" s="31" t="str">
        <x:v>Respond/upload</x:v>
      </x:c>
      <x:c r="E9" s="31" t="str">
        <x:v>Proof is the product</x:v>
      </x:c>
      <x:c r="F9" s="31" t="str">
        <x:v>Build now</x:v>
      </x:c>
    </x:row>
    <x:row r="10">
      <x:c r="A10" s="31" t="str">
        <x:v>PRR / Recordstream</x:v>
      </x:c>
      <x:c r="B10" s="31" t="str">
        <x:v>Append-only thread of meaningful actions and changes</x:v>
      </x:c>
      <x:c r="C10" s="31" t="str">
        <x:v>Overview summary</x:v>
      </x:c>
      <x:c r="D10" s="31" t="str">
        <x:v>No</x:v>
      </x:c>
      <x:c r="E10" s="31" t="str">
        <x:v>Never lose the thread</x:v>
      </x:c>
      <x:c r="F10" s="31" t="str">
        <x:v>Build now</x:v>
      </x:c>
    </x:row>
    <x:row r="11">
      <x:c r="A11" s="31" t="str">
        <x:v>Decisions</x:v>
      </x:c>
      <x:c r="B11" s="31" t="str">
        <x:v>Decision, owner, basis, authority, next action</x:v>
      </x:c>
      <x:c r="C11" s="31" t="str">
        <x:v>Decisions</x:v>
      </x:c>
      <x:c r="D11" s="31" t="str">
        <x:v>Limited</x:v>
      </x:c>
      <x:c r="E11" s="31" t="str">
        <x:v>Captures what was decided and why</x:v>
      </x:c>
      <x:c r="F11" s="31" t="str">
        <x:v>Build now</x:v>
      </x:c>
    </x:row>
    <x:row r="12">
      <x:c r="A12" s="31" t="str">
        <x:v>CAL Gates</x:v>
      </x:c>
      <x:c r="B12" s="31" t="str">
        <x:v>Authority/role/sequence check results</x:v>
      </x:c>
      <x:c r="C12" s="31" t="str">
        <x:v>Decisions / Next Steps</x:v>
      </x:c>
      <x:c r="D12" s="31" t="str">
        <x:v>No</x:v>
      </x:c>
      <x:c r="E12" s="31" t="str">
        <x:v>Prevents wrong next move</x:v>
      </x:c>
      <x:c r="F12" s="31" t="str">
        <x:v>Build now</x:v>
      </x:c>
    </x:row>
    <x:row r="13">
      <x:c r="A13" s="31" t="str">
        <x:v>PRM Checks</x:v>
      </x:c>
      <x:c r="B13" s="31" t="str">
        <x:v>Completeness, proof, risk, readiness checks</x:v>
      </x:c>
      <x:c r="C13" s="31" t="str">
        <x:v>Next Steps</x:v>
      </x:c>
      <x:c r="D13" s="31" t="str">
        <x:v>No</x:v>
      </x:c>
      <x:c r="E13" s="31" t="str">
        <x:v>Shows what is missing before closeout</x:v>
      </x:c>
      <x:c r="F13" s="31" t="str">
        <x:v>Build now</x:v>
      </x:c>
    </x:row>
    <x:row r="14">
      <x:c r="A14" s="31" t="str">
        <x:v>Tasks / Next Actions</x:v>
      </x:c>
      <x:c r="B14" s="31" t="str">
        <x:v>Owner, due date, status, dependency, note</x:v>
      </x:c>
      <x:c r="C14" s="31" t="str">
        <x:v>Next Steps</x:v>
      </x:c>
      <x:c r="D14" s="31" t="str">
        <x:v>Yes</x:v>
      </x:c>
      <x:c r="E14" s="31" t="str">
        <x:v>Turns governance into motion</x:v>
      </x:c>
      <x:c r="F14" s="31" t="str">
        <x:v>Build now</x:v>
      </x:c>
    </x:row>
    <x:row r="15">
      <x:c r="A15" s="31" t="str">
        <x:v>Dashboards</x:v>
      </x:c>
      <x:c r="B15" s="31" t="str">
        <x:v>Summary views, role views, owner/operator view</x:v>
      </x:c>
      <x:c r="C15" s="31" t="str">
        <x:v>Overview</x:v>
      </x:c>
      <x:c r="D15" s="31" t="str">
        <x:v>No/limited</x:v>
      </x:c>
      <x:c r="E15" s="31" t="str">
        <x:v>Keeps edge simple</x:v>
      </x:c>
      <x:c r="F15" s="31" t="str">
        <x:v>Build now</x:v>
      </x:c>
    </x:row>
    <x:row r="16">
      <x:c r="A16" s="31" t="str">
        <x:v>Packet Builder</x:v>
      </x:c>
      <x:c r="B16" s="31" t="str">
        <x:v>Compiled proof, decisions, record, status, handoff</x:v>
      </x:c>
      <x:c r="C16" s="31" t="str">
        <x:v>Documents / Overview</x:v>
      </x:c>
      <x:c r="D16" s="31" t="str">
        <x:v>Review</x:v>
      </x:c>
      <x:c r="E16" s="31" t="str">
        <x:v>Creates closure artifact</x:v>
      </x:c>
      <x:c r="F16" s="31" t="str">
        <x:v>Build now</x:v>
      </x:c>
    </x:row>
    <x:row r="17">
      <x:c r="A17" s="31" t="str">
        <x:v>ARCHIEVE Seal</x:v>
      </x:c>
      <x:c r="B17" s="31" t="str">
        <x:v>Close date, contents, authority, packet, next-state note</x:v>
      </x:c>
      <x:c r="C17" s="31" t="str">
        <x:v>Overview / Documents</x:v>
      </x:c>
      <x:c r="D17" s="31" t="str">
        <x:v>No</x:v>
      </x:c>
      <x:c r="E17" s="31" t="str">
        <x:v>Seals the record</x:v>
      </x:c>
      <x:c r="F17" s="31" t="str">
        <x:v>Build now</x:v>
      </x:c>
    </x:row>
    <x:row r="18">
      <x:c r="A18" s="31" t="str">
        <x:v>Connected Tool Events</x:v>
      </x:c>
      <x:c r="B18" s="31" t="str">
        <x:v>Gmail, Drive, Calendar, Airbnb, GitHub, Stripe, CivicPlus events</x:v>
      </x:c>
      <x:c r="C18" s="31" t="str">
        <x:v>Varies</x:v>
      </x:c>
      <x:c r="D18" s="31" t="str">
        <x:v>No</x:v>
      </x:c>
      <x:c r="E18" s="31" t="str">
        <x:v>Tools are sources/outputs; PJ governs record</x:v>
      </x:c>
      <x:c r="F18" s="31" t="str">
        <x:v>Early</x:v>
      </x:c>
    </x:row>
    <x:row r="19">
      <x:c r="A19" s="31" t="str">
        <x:v>Custom Tool Outputs</x:v>
      </x:c>
      <x:c r="B19" s="31" t="str">
        <x:v>Generated path sheets, indexes, summaries, checklists</x:v>
      </x:c>
      <x:c r="C19" s="31" t="str">
        <x:v>Varies</x:v>
      </x:c>
      <x:c r="D19" s="31" t="str">
        <x:v>Review</x:v>
      </x:c>
      <x:c r="E19" s="31" t="str">
        <x:v>Custom tooling strengthens record</x:v>
      </x:c>
      <x:c r="F19" s="31" t="str">
        <x:v>Early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34" hidden="0" customWidth="1"/>
    <x:col min="4" max="4" width="30" hidden="0" customWidth="1"/>
    <x:col min="5" max="5" width="42" hidden="0" customWidth="1"/>
    <x:col min="6" max="6" width="14" hidden="0" customWidth="1"/>
  </x:cols>
  <x:sheetData>
    <x:row r="1" ht="28" customHeight="1">
      <x:c r="A1" s="5" t="str">
        <x:v>Tool Connections and Custom Tooling</x:v>
      </x:c>
    </x:row>
    <x:row r="2" ht="30" customHeight="1">
      <x:c r="A2" s="13" t="str">
        <x:v>PJ does not replace tools. It reads/writes through governed connectors and records why it matters.</x:v>
      </x:c>
    </x:row>
    <x:row r="4" ht="26" customHeight="1">
      <x:c r="A4" s="30" t="str">
        <x:v>Tool / Source</x:v>
      </x:c>
      <x:c r="B4" s="30" t="str">
        <x:v>PJ Reads</x:v>
      </x:c>
      <x:c r="C4" s="30" t="str">
        <x:v>PJ Writes / Outputs</x:v>
      </x:c>
      <x:c r="D4" s="30" t="str">
        <x:v>CaseSpace Object Updated</x:v>
      </x:c>
      <x:c r="E4" s="30" t="str">
        <x:v>Permission Rule</x:v>
      </x:c>
      <x:c r="F4" s="30" t="str">
        <x:v>Priority</x:v>
      </x:c>
    </x:row>
    <x:row r="5">
      <x:c r="A5" s="31" t="str">
        <x:v>Gmail</x:v>
      </x:c>
      <x:c r="B5" s="31" t="str">
        <x:v>Threads, senders, attachments, snippets, evidence requests</x:v>
      </x:c>
      <x:c r="C5" s="31" t="str">
        <x:v>Drafts, replies, reminders only when authorized</x:v>
      </x:c>
      <x:c r="D5" s="31" t="str">
        <x:v>Source Profile; Evidence; PRR; Digest</x:v>
      </x:c>
      <x:c r="E5" s="31" t="str">
        <x:v>Never silently change matter status</x:v>
      </x:c>
      <x:c r="F5" s="31" t="str">
        <x:v>Early</x:v>
      </x:c>
    </x:row>
    <x:row r="6">
      <x:c r="A6" s="31" t="str">
        <x:v>Google Drive</x:v>
      </x:c>
      <x:c r="B6" s="31" t="str">
        <x:v>Folders, files, titles, metadata, source docs</x:v>
      </x:c>
      <x:c r="C6" s="31" t="str">
        <x:v>Housed document set, packet exports, indexes</x:v>
      </x:c>
      <x:c r="D6" s="31" t="str">
        <x:v>Documents; Evidence; Packet</x:v>
      </x:c>
      <x:c r="E6" s="31" t="str">
        <x:v>Drive stores files; PJ explains status/gaps</x:v>
      </x:c>
      <x:c r="F6" s="31" t="str">
        <x:v>Build now</x:v>
      </x:c>
    </x:row>
    <x:row r="7">
      <x:c r="A7" s="31" t="str">
        <x:v>Google Calendar</x:v>
      </x:c>
      <x:c r="B7" s="31" t="str">
        <x:v>Events, deadlines, check-ins, due dates</x:v>
      </x:c>
      <x:c r="C7" s="31" t="str">
        <x:v>Calendar holds/reminders when approved</x:v>
      </x:c>
      <x:c r="D7" s="31" t="str">
        <x:v>Tasks; Digest; PRR</x:v>
      </x:c>
      <x:c r="E7" s="31" t="str">
        <x:v>Do not book/modify without user intent</x:v>
      </x:c>
      <x:c r="F7" s="31" t="str">
        <x:v>Early</x:v>
      </x:c>
    </x:row>
    <x:row r="8">
      <x:c r="A8" s="31" t="str">
        <x:v>Airbnb / iCal / Listing</x:v>
      </x:c>
      <x:c r="B8" s="31" t="str">
        <x:v>Reservations, listing facts, rules, amenities, dates</x:v>
      </x:c>
      <x:c r="C8" s="31" t="str">
        <x:v>Guestbook, turnover tasks, owner digest</x:v>
      </x:c>
      <x:c r="D8" s="31" t="str">
        <x:v>STAY CaseSpace; Documents; Tasks</x:v>
      </x:c>
      <x:c r="E8" s="31" t="str">
        <x:v>Guest view-only; owner governs</x:v>
      </x:c>
      <x:c r="F8" s="31" t="str">
        <x:v>Early</x:v>
      </x:c>
    </x:row>
    <x:row r="9">
      <x:c r="A9" s="31" t="str">
        <x:v>GitHub</x:v>
      </x:c>
      <x:c r="B9" s="31" t="str">
        <x:v>Repos, branches, issues, commits, docs</x:v>
      </x:c>
      <x:c r="C9" s="31" t="str">
        <x:v>Issue/task refs, build records, release notes</x:v>
      </x:c>
      <x:c r="D9" s="31" t="str">
        <x:v>BIZ/CORE CaseSpace; PRR</x:v>
      </x:c>
      <x:c r="E9" s="31" t="str">
        <x:v>Do not ship code silently</x:v>
      </x:c>
      <x:c r="F9" s="31" t="str">
        <x:v>Later</x:v>
      </x:c>
    </x:row>
    <x:row r="10">
      <x:c r="A10" s="31" t="str">
        <x:v>Stripe / Finance</x:v>
      </x:c>
      <x:c r="B10" s="31" t="str">
        <x:v>Invoices, payment status, customer facts</x:v>
      </x:c>
      <x:c r="C10" s="31" t="str">
        <x:v>Invoice support record, payment status note</x:v>
      </x:c>
      <x:c r="D10" s="31" t="str">
        <x:v>BIZ; Documents; PRR</x:v>
      </x:c>
      <x:c r="E10" s="31" t="str">
        <x:v>No financial advice; no silent charges</x:v>
      </x:c>
      <x:c r="F10" s="31" t="str">
        <x:v>Later</x:v>
      </x:c>
    </x:row>
    <x:row r="11">
      <x:c r="A11" s="31" t="str">
        <x:v>CivicPlus / Polimorphic</x:v>
      </x:c>
      <x:c r="B11" s="31" t="str">
        <x:v>Forms, submissions, web pages, request records</x:v>
      </x:c>
      <x:c r="C11" s="31" t="str">
        <x:v>Status summaries, PRR/permit record notes</x:v>
      </x:c>
      <x:c r="D11" s="31" t="str">
        <x:v>MUNI CaseSpace</x:v>
      </x:c>
      <x:c r="E11" s="31" t="str">
        <x:v>Public records/lawful process guardrails</x:v>
      </x:c>
      <x:c r="F11" s="31" t="str">
        <x:v>Later</x:v>
      </x:c>
    </x:row>
    <x:row r="12">
      <x:c r="A12" s="31" t="str">
        <x:v>Smart Home / STAY Controls</x:v>
      </x:c>
      <x:c r="B12" s="31" t="str">
        <x:v>Device status, links, operating notes</x:v>
      </x:c>
      <x:c r="C12" s="31" t="str">
        <x:v>Guest instructions, maintenance flags</x:v>
      </x:c>
      <x:c r="D12" s="31" t="str">
        <x:v>STAY Guestbook; Tasks</x:v>
      </x:c>
      <x:c r="E12" s="31" t="str">
        <x:v>Never expose owner controls improperly</x:v>
      </x:c>
      <x:c r="F12" s="31" t="str">
        <x:v>Later</x:v>
      </x:c>
    </x:row>
    <x:row r="13">
      <x:c r="A13" s="31" t="str">
        <x:v>Custom: Source Pull Mapper</x:v>
      </x:c>
      <x:c r="B13" s="31" t="str">
        <x:v>Seed info from files/links/folders</x:v>
      </x:c>
      <x:c r="C13" s="31" t="str">
        <x:v>Source Profile, Asset Set, Document Set</x:v>
      </x:c>
      <x:c r="D13" s="31" t="str">
        <x:v>Identity; Source Profile</x:v>
      </x:c>
      <x:c r="E13" s="31" t="str">
        <x:v>User confirms extracted facts</x:v>
      </x:c>
      <x:c r="F13" s="31" t="str">
        <x:v>Build now</x:v>
      </x:c>
    </x:row>
    <x:row r="14">
      <x:c r="A14" s="31" t="str">
        <x:v>Custom: Dashboard Composer</x:v>
      </x:c>
      <x:c r="B14" s="31" t="str">
        <x:v>Internal CaseSpace objects</x:v>
      </x:c>
      <x:c r="C14" s="31" t="str">
        <x:v>Five-tab client edge</x:v>
      </x:c>
      <x:c r="D14" s="31" t="str">
        <x:v>Overview; Intake; Documents; Decisions; Next Steps</x:v>
      </x:c>
      <x:c r="E14" s="31" t="str">
        <x:v>Hide machine room by default</x:v>
      </x:c>
      <x:c r="F14" s="31" t="str">
        <x:v>Build now</x:v>
      </x:c>
    </x:row>
    <x:row r="15">
      <x:c r="A15" s="31" t="str">
        <x:v>Custom: Packet Builder</x:v>
      </x:c>
      <x:c r="B15" s="31" t="str">
        <x:v>PRR, evidence, decisions, checks, documents</x:v>
      </x:c>
      <x:c r="C15" s="31" t="str">
        <x:v>Handoff packet draft</x:v>
      </x:c>
      <x:c r="D15" s="31" t="str">
        <x:v>Packet; ARCHIEVE</x:v>
      </x:c>
      <x:c r="E15" s="31" t="str">
        <x:v>Review before seal</x:v>
      </x:c>
      <x:c r="F15" s="31" t="str">
        <x:v>Build now</x:v>
      </x:c>
    </x:row>
    <x:row r="16">
      <x:c r="A16" s="31" t="str">
        <x:v>Custom: 3x Rule Tracker</x:v>
      </x:c>
      <x:c r="B16" s="31" t="str">
        <x:v>Feature requests, sources, recurrence</x:v>
      </x:c>
      <x:c r="C16" s="31" t="str">
        <x:v>Promote/park/build decision</x:v>
      </x:c>
      <x:c r="D16" s="31" t="str">
        <x:v>Backlog; Governance</x:v>
      </x:c>
      <x:c r="E16" s="31" t="str">
        <x:v>No bespoke bypass</x:v>
      </x:c>
      <x:c r="F16" s="31" t="str">
        <x:v>Build now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6" hidden="0" customWidth="1"/>
    <x:col min="4" max="4" width="34" hidden="0" customWidth="1"/>
    <x:col min="5" max="5" width="34" hidden="0" customWidth="1"/>
    <x:col min="6" max="6" width="36" hidden="0" customWidth="1"/>
    <x:col min="7" max="7" width="16" hidden="0" customWidth="1"/>
  </x:cols>
  <x:sheetData>
    <x:row r="1" ht="28" customHeight="1">
      <x:c r="A1" s="74" t="str">
        <x:v>Pricing and Adoption Ladder</x:v>
      </x:c>
    </x:row>
    <x:row r="2" ht="30" customHeight="1">
      <x:c r="A2" s="75" t="str">
        <x:v>Launch pricing locks for pilots. Single/Duo have real anchors; Team remains gated by 3x demand.</x:v>
      </x:c>
    </x:row>
    <x:row r="4" ht="26" customHeight="1">
      <x:c r="A4" s="30" t="str">
        <x:v>Offer</x:v>
      </x:c>
      <x:c r="B4" s="30" t="str">
        <x:v>Audience</x:v>
      </x:c>
      <x:c r="C4" s="30" t="str">
        <x:v>Planning Price</x:v>
      </x:c>
      <x:c r="D4" s="30" t="str">
        <x:v>Surface</x:v>
      </x:c>
      <x:c r="E4" s="30" t="str">
        <x:v>Includes</x:v>
      </x:c>
      <x:c r="F4" s="30" t="str">
        <x:v>Conversion Goal</x:v>
      </x:c>
      <x:c r="G4" s="30" t="str">
        <x:v>Guardrail</x:v>
      </x:c>
    </x:row>
    <x:row r="5">
      <x:c r="A5" s="31" t="str">
        <x:v>Single Starter</x:v>
      </x:c>
      <x:c r="B5" s="31" t="str">
        <x:v>Solo operator, owner, consultant</x:v>
      </x:c>
      <x:c r="C5" s="31" t="str">
        <x:v>$29/mo launch assumption</x:v>
      </x:c>
      <x:c r="D5" s="31" t="str">
        <x:v>Self-serve starter CaseSpace</x:v>
      </x:c>
      <x:c r="E5" s="31" t="str">
        <x:v>Seed profile, housed asset set, housed document set, forms with teeth, 1 active workspace</x:v>
      </x:c>
      <x:c r="F5" s="31" t="str">
        <x:v>Duo/Team or Quick Review</x:v>
      </x:c>
      <x:c r="G5" s="31" t="str">
        <x:v>Can comp/discount pilots, but keep the anchor. No custom logic by default.</x:v>
      </x:c>
    </x:row>
    <x:row r="6">
      <x:c r="A6" s="31" t="str">
        <x:v>Duo Starter</x:v>
      </x:c>
      <x:c r="B6" s="31" t="str">
        <x:v>Two-person operator pair</x:v>
      </x:c>
      <x:c r="C6" s="31" t="str">
        <x:v>$59/mo launch assumption</x:v>
      </x:c>
      <x:c r="D6" s="31" t="str">
        <x:v>Shared workspace</x:v>
      </x:c>
      <x:c r="E6" s="31" t="str">
        <x:v>Two users, role surface, shared evidence/documents/tasks, weekly digest</x:v>
      </x:c>
      <x:c r="F6" s="31" t="str">
        <x:v>Team/Live CaseSpace</x:v>
      </x:c>
      <x:c r="G6" s="31" t="str">
        <x:v>Shared governance, not enterprise permissions.</x:v>
      </x:c>
    </x:row>
    <x:row r="7">
      <x:c r="A7" s="31" t="str">
        <x:v>Team</x:v>
      </x:c>
      <x:c r="B7" s="31" t="str">
        <x:v>Small operating group</x:v>
      </x:c>
      <x:c r="C7" s="31" t="str">
        <x:v>$39/seat/mo planning assumption</x:v>
      </x:c>
      <x:c r="D7" s="31" t="str">
        <x:v>Team CaseSpace set</x:v>
      </x:c>
      <x:c r="E7" s="31" t="str">
        <x:v>Multiple users, shared CaseSpaces, digest, basic role mapping</x:v>
      </x:c>
      <x:c r="F7" s="31" t="str">
        <x:v>Bridge/Live CaseSpace</x:v>
      </x:c>
      <x:c r="G7" s="31" t="str">
        <x:v>Do not build until at least three paying Duo users ask for Team-specific capabilities.</x:v>
      </x:c>
    </x:row>
    <x:row r="8">
      <x:c r="A8" s="31" t="str">
        <x:v>Free Path Sheet</x:v>
      </x:c>
      <x:c r="B8" s="31" t="str">
        <x:v>Any lead</x:v>
      </x:c>
      <x:c r="C8" s="31" t="str">
        <x:v>$0</x:v>
      </x:c>
      <x:c r="D8" s="31" t="str">
        <x:v>No-login form/output</x:v>
      </x:c>
      <x:c r="E8" s="31" t="str">
        <x:v>One-page path from messy problem to next move</x:v>
      </x:c>
      <x:c r="F8" s="31" t="str">
        <x:v>Quick Review</x:v>
      </x:c>
      <x:c r="G8" s="31" t="str">
        <x:v>Must not become free consulting</x:v>
      </x:c>
    </x:row>
    <x:row r="9">
      <x:c r="A9" s="31" t="str">
        <x:v>Quick Review</x:v>
      </x:c>
      <x:c r="B9" s="31" t="str">
        <x:v>MUNI/PROJECT/BIZ/STAY serious lead</x:v>
      </x:c>
      <x:c r="C9" s="31" t="str">
        <x:v>Fixed fee TBD</x:v>
      </x:c>
      <x:c r="D9" s="31" t="str">
        <x:v>Paid diagnostic</x:v>
      </x:c>
      <x:c r="E9" s="31" t="str">
        <x:v>Findings, gaps, path sheet, recommended CaseSpace</x:v>
      </x:c>
      <x:c r="F9" s="31" t="str">
        <x:v>Bridge or Live CaseSpace</x:v>
      </x:c>
      <x:c r="G9" s="31" t="str">
        <x:v>Short, bounded, proof-oriented</x:v>
      </x:c>
    </x:row>
    <x:row r="10">
      <x:c r="A10" s="31" t="str">
        <x:v>Bridge Package</x:v>
      </x:c>
      <x:c r="B10" s="31" t="str">
        <x:v>MUNI/PROJECT/BIZ</x:v>
      </x:c>
      <x:c r="C10" s="31" t="str">
        <x:v>Mid-tier TBD</x:v>
      </x:c>
      <x:c r="D10" s="31" t="str">
        <x:v>Structured service</x:v>
      </x:c>
      <x:c r="E10" s="31" t="str">
        <x:v>Evidence map, owner map, path sheet, starting record</x:v>
      </x:c>
      <x:c r="F10" s="31" t="str">
        <x:v>Live CaseSpace</x:v>
      </x:c>
      <x:c r="G10" s="31" t="str">
        <x:v>No endless implementation</x:v>
      </x:c>
    </x:row>
    <x:row r="11">
      <x:c r="A11" s="31" t="str">
        <x:v>Live CaseSpace</x:v>
      </x:c>
      <x:c r="B11" s="31" t="str">
        <x:v>All lanes</x:v>
      </x:c>
      <x:c r="C11" s="31" t="str">
        <x:v>Recurring TBD</x:v>
      </x:c>
      <x:c r="D11" s="31" t="str">
        <x:v>Workspace product</x:v>
      </x:c>
      <x:c r="E11" s="31" t="str">
        <x:v>Five-tab edge + internal runtime + sealed handoffs</x:v>
      </x:c>
      <x:c r="F11" s="31" t="str">
        <x:v>Retention/expansion</x:v>
      </x:c>
      <x:c r="G11" s="31" t="str">
        <x:v>Do not expose bloat</x:v>
      </x:c>
    </x:row>
    <x:row r="13" ht="24" customHeight="1">
      <x:c r="A13" s="70" t="str">
        <x:v>Pricing Lock</x:v>
      </x:c>
      <x:c r="B13" s="70" t="str">
        <x:v>Final Answer</x:v>
      </x:c>
      <x:c r="C13" s="70" t="str">
        <x:v>Reason</x:v>
      </x:c>
      <x:c r="D13" s="70" t="str">
        <x:v>Pilot Rule</x:v>
      </x:c>
      <x:c r="E13" s="70" t="str">
        <x:v>Do Not Include</x:v>
      </x:c>
      <x:c r="F13" s="70" t="str">
        <x:v>Trigger to Expand</x:v>
      </x:c>
      <x:c r="G13" s="70" t="str">
        <x:v>Owner</x:v>
      </x:c>
    </x:row>
    <x:row r="14">
      <x:c r="A14" s="31" t="str">
        <x:v>Single</x:v>
      </x:c>
      <x:c r="B14" s="31" t="str">
        <x:v>$29/mo</x:v>
      </x:c>
      <x:c r="C14" s="31" t="str">
        <x:v>Low-friction solo starter with real value anchor.</x:v>
      </x:c>
      <x:c r="D14" s="31" t="str">
        <x:v>May be free/discounted for first pilots.</x:v>
      </x:c>
      <x:c r="E14" s="31" t="str">
        <x:v>Custom automations; multi-user permissions.</x:v>
      </x:c>
      <x:c r="F14" s="31" t="str">
        <x:v>User needs shared roles or recurring operations.</x:v>
      </x:c>
      <x:c r="G14" s="31" t="str">
        <x:v>Nate</x:v>
      </x:c>
    </x:row>
    <x:row r="15">
      <x:c r="A15" s="31" t="str">
        <x:v>Duo</x:v>
      </x:c>
      <x:c r="B15" s="31" t="str">
        <x:v>$59/mo</x:v>
      </x:c>
      <x:c r="C15" s="31" t="str">
        <x:v>First shared operating surface and best test of governance.</x:v>
      </x:c>
      <x:c r="D15" s="31" t="str">
        <x:v>Use for Nate + Allie / small operator pairs.</x:v>
      </x:c>
      <x:c r="E15" s="31" t="str">
        <x:v>Enterprise RBAC; admin console.</x:v>
      </x:c>
      <x:c r="F15" s="31" t="str">
        <x:v>3+ Duo users ask for Team features.</x:v>
      </x:c>
      <x:c r="G15" s="31" t="str">
        <x:v>Nate + Allie</x:v>
      </x:c>
    </x:row>
    <x:row r="16">
      <x:c r="A16" s="31" t="str">
        <x:v>Team</x:v>
      </x:c>
      <x:c r="B16" s="31" t="str">
        <x:v>$39/seat/mo planning only</x:v>
      </x:c>
      <x:c r="C16" s="31" t="str">
        <x:v>Visible ladder, but not a build priority.</x:v>
      </x:c>
      <x:c r="D16" s="31" t="str">
        <x:v>No Team-specific build during Golden Path.</x:v>
      </x:c>
      <x:c r="E16" s="31" t="str">
        <x:v>Org-wide controls, nested roles, bulk provisioning.</x:v>
      </x:c>
      <x:c r="F16" s="31" t="str">
        <x:v>3 paying Duo requests with same pattern.</x:v>
      </x:c>
      <x:c r="G16" s="31" t="str">
        <x:v>Nate</x:v>
      </x:c>
    </x:row>
    <x:row r="17">
      <x:c r="A17" s="31" t="str">
        <x:v>Quick Review</x:v>
      </x:c>
      <x:c r="B17" s="31" t="str">
        <x:v>Fixed fee TBD</x:v>
      </x:c>
      <x:c r="C17" s="31" t="str">
        <x:v>Bounded proof-oriented diagnostic.</x:v>
      </x:c>
      <x:c r="D17" s="31" t="str">
        <x:v>Use when a lead has serious MUNI/PROJECT/BIZ/STAY need.</x:v>
      </x:c>
      <x:c r="E17" s="31" t="str">
        <x:v>Free consulting; open-ended implementation.</x:v>
      </x:c>
      <x:c r="F17" s="31" t="str">
        <x:v>Converts to Bridge or Live CaseSpace.</x:v>
      </x:c>
      <x:c r="G17" s="31" t="str">
        <x:v>Nate</x:v>
      </x:c>
    </x:row>
  </x:sheetData>
  <x:mergeCells>
    <x:mergeCell ref="A1:J1"/>
    <x:mergeCell ref="A2:J2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34" hidden="0" customWidth="1"/>
    <x:col min="5" max="5" width="38" hidden="0" customWidth="1"/>
    <x:col min="6" max="6" width="16" hidden="0" customWidth="1"/>
    <x:col min="7" max="7" width="14" hidden="0" customWidth="1"/>
    <x:col min="8" max="8" width="16" hidden="0" customWidth="1"/>
    <x:col min="9" max="9" width="20" hidden="0" customWidth="1"/>
  </x:cols>
  <x:sheetData>
    <x:row r="1" ht="28" customHeight="1">
      <x:c r="A1" s="5" t="str">
        <x:v>Risk Watchlist</x:v>
      </x:c>
    </x:row>
    <x:row r="2" ht="30" customHeight="1">
      <x:c r="A2" s="13" t="str">
        <x:v>These are operating constraints, not reasons to stop.</x:v>
      </x:c>
    </x:row>
    <x:row r="4" ht="26" customHeight="1">
      <x:c r="A4" s="30" t="str">
        <x:v>Risk ID</x:v>
      </x:c>
      <x:c r="B4" s="30" t="str">
        <x:v>Risk</x:v>
      </x:c>
      <x:c r="C4" s="30" t="str">
        <x:v>Why It Matters</x:v>
      </x:c>
      <x:c r="D4" s="30" t="str">
        <x:v>Early Warning Sign</x:v>
      </x:c>
      <x:c r="E4" s="30" t="str">
        <x:v>Mitigation</x:v>
      </x:c>
      <x:c r="F4" s="30" t="str">
        <x:v>Owner</x:v>
      </x:c>
      <x:c r="G4" s="30" t="str">
        <x:v>Status</x:v>
      </x:c>
      <x:c r="H4" s="30" t="str">
        <x:v>Review Cadence</x:v>
      </x:c>
      <x:c r="I4" s="30" t="str">
        <x:v>Related Sheet</x:v>
      </x:c>
    </x:row>
    <x:row r="5">
      <x:c r="A5" s="31" t="str">
        <x:v>R-001</x:v>
      </x:c>
      <x:c r="B5" s="31" t="str">
        <x:v>Governance language does not sell</x:v>
      </x:c>
      <x:c r="C5" s="31" t="str">
        <x:v>Clients buy clarity, proof, closure, and confidence</x:v>
      </x:c>
      <x:c r="D5" s="31" t="str">
        <x:v>Prospects ask what governance means</x:v>
      </x:c>
      <x:c r="E5" s="31" t="str">
        <x:v>Use demo script and client translation language</x:v>
      </x:c>
      <x:c r="F5" s="31" t="str">
        <x:v>Nate</x:v>
      </x:c>
      <x:c r="G5" s="31" t="str">
        <x:v>Active</x:v>
      </x:c>
      <x:c r="H5" s="31" t="str">
        <x:v>Weekly</x:v>
      </x:c>
      <x:c r="I5" s="31" t="str">
        <x:v>00 / 09</x:v>
      </x:c>
    </x:row>
    <x:row r="6">
      <x:c r="A6" s="31" t="str">
        <x:v>R-002</x:v>
      </x:c>
      <x:c r="B6" s="31" t="str">
        <x:v>PROJECT becomes catch-all</x:v>
      </x:c>
      <x:c r="C6" s="31" t="str">
        <x:v>Broad lane can become bespoke consulting sink</x:v>
      </x:c>
      <x:c r="D6" s="31" t="str">
        <x:v>Every complex ask becomes PROJECT</x:v>
      </x:c>
      <x:c r="E6" s="31" t="str">
        <x:v>Use PROJECT entry points and scope guards</x:v>
      </x:c>
      <x:c r="F6" s="31" t="str">
        <x:v>Nate</x:v>
      </x:c>
      <x:c r="G6" s="31" t="str">
        <x:v>Active</x:v>
      </x:c>
      <x:c r="H6" s="31" t="str">
        <x:v>Weekly</x:v>
      </x:c>
      <x:c r="I6" s="31" t="str">
        <x:v>01 / 08</x:v>
      </x:c>
    </x:row>
    <x:row r="7">
      <x:c r="A7" s="31" t="str">
        <x:v>R-003</x:v>
      </x:c>
      <x:c r="B7" s="31" t="str">
        <x:v>STAY pulls into PMS bloat</x:v>
      </x:c>
      <x:c r="C7" s="31" t="str">
        <x:v>Guest-facing features can overrun runtime</x:v>
      </x:c>
      <x:c r="D7" s="31" t="str">
        <x:v>Requests become booking/payment/channel manager work</x:v>
      </x:c>
      <x:c r="E7" s="31" t="str">
        <x:v>Keep STAY thin until 3x proof</x:v>
      </x:c>
      <x:c r="F7" s="31" t="str">
        <x:v>Nate + Allie</x:v>
      </x:c>
      <x:c r="G7" s="31" t="str">
        <x:v>Active</x:v>
      </x:c>
      <x:c r="H7" s="31" t="str">
        <x:v>Weekly</x:v>
      </x:c>
      <x:c r="I7" s="31" t="str">
        <x:v>01 / 08</x:v>
      </x:c>
    </x:row>
    <x:row r="8">
      <x:c r="A8" s="31" t="str">
        <x:v>R-004</x:v>
      </x:c>
      <x:c r="B8" s="31" t="str">
        <x:v>Automation pollutes recordstream</x:v>
      </x:c>
      <x:c r="C8" s="31" t="str">
        <x:v>Silent actions reduce trust</x:v>
      </x:c>
      <x:c r="D8" s="31" t="str">
        <x:v>Items appear without source/basis</x:v>
      </x:c>
      <x:c r="E8" s="31" t="str">
        <x:v>Governed automation only</x:v>
      </x:c>
      <x:c r="F8" s="31" t="str">
        <x:v>Builder</x:v>
      </x:c>
      <x:c r="G8" s="31" t="str">
        <x:v>Active</x:v>
      </x:c>
      <x:c r="H8" s="31" t="str">
        <x:v>Weekly</x:v>
      </x:c>
      <x:c r="I8" s="31" t="str">
        <x:v>05 / 08</x:v>
      </x:c>
    </x:row>
    <x:row r="9">
      <x:c r="A9" s="31" t="str">
        <x:v>R-005</x:v>
      </x:c>
      <x:c r="B9" s="31" t="str">
        <x:v>Five-tab edge cannot render depth</x:v>
      </x:c>
      <x:c r="C9" s="31" t="str">
        <x:v>Backend becomes unusable if view layer is late</x:v>
      </x:c>
      <x:c r="D9" s="31" t="str">
        <x:v>Client view feels like database dump</x:v>
      </x:c>
      <x:c r="E9" s="31" t="str">
        <x:v>Build Dashboard Composer with CaseSpace Factory</x:v>
      </x:c>
      <x:c r="F9" s="31" t="str">
        <x:v>Builder</x:v>
      </x:c>
      <x:c r="G9" s="31" t="str">
        <x:v>Active</x:v>
      </x:c>
      <x:c r="H9" s="31" t="str">
        <x:v>Twice weekly</x:v>
      </x:c>
      <x:c r="I9" s="31" t="str">
        <x:v>04 / 05</x:v>
      </x:c>
    </x:row>
    <x:row r="10">
      <x:c r="A10" s="31" t="str">
        <x:v>R-006</x:v>
      </x:c>
      <x:c r="B10" s="31" t="str">
        <x:v>Bespoke death spiral</x:v>
      </x:c>
      <x:c r="C10" s="31" t="str">
        <x:v>Early clients can pay for one-off features</x:v>
      </x:c>
      <x:c r="D10" s="31" t="str">
        <x:v>Custom request bypasses 3x tracker</x:v>
      </x:c>
      <x:c r="E10" s="31" t="str">
        <x:v>Log every request; no repeatable feature until 3x</x:v>
      </x:c>
      <x:c r="F10" s="31" t="str">
        <x:v>Nate</x:v>
      </x:c>
      <x:c r="G10" s="31" t="str">
        <x:v>Active</x:v>
      </x:c>
      <x:c r="H10" s="31" t="str">
        <x:v>Weekly</x:v>
      </x:c>
      <x:c r="I10" s="31" t="str">
        <x:v>08</x:v>
      </x:c>
    </x:row>
    <x:row r="11">
      <x:c r="A11" s="31" t="str">
        <x:v>R-007</x:v>
      </x:c>
      <x:c r="B11" s="31" t="str">
        <x:v>Seed pull overpromises</x:v>
      </x:c>
      <x:c r="C11" s="31" t="str">
        <x:v>Single/Duo trust depends on accurate extraction</x:v>
      </x:c>
      <x:c r="D11" s="31" t="str">
        <x:v>Seed produces wrong asset/doc set</x:v>
      </x:c>
      <x:c r="E11" s="31" t="str">
        <x:v>User confirmation step and source notes</x:v>
      </x:c>
      <x:c r="F11" s="31" t="str">
        <x:v>Builder</x:v>
      </x:c>
      <x:c r="G11" s="31" t="str">
        <x:v>Active</x:v>
      </x:c>
      <x:c r="H11" s="31" t="str">
        <x:v>Weekly</x:v>
      </x:c>
      <x:c r="I11" s="31" t="str">
        <x:v>04 / 05</x:v>
      </x:c>
    </x:row>
    <x:row r="12">
      <x:c r="A12" s="31" t="str">
        <x:v>R-008</x:v>
      </x:c>
      <x:c r="B12" s="31" t="str">
        <x:v>Packet feels like report dump</x:v>
      </x:c>
      <x:c r="C12" s="31" t="str">
        <x:v>ARCHIEVE must feel like closure/proof</x:v>
      </x:c>
      <x:c r="D12" s="31" t="str">
        <x:v>Packet is long but not useful</x:v>
      </x:c>
      <x:c r="E12" s="31" t="str">
        <x:v>Packet Builder focuses on proof/decisions/next state</x:v>
      </x:c>
      <x:c r="F12" s="31" t="str">
        <x:v>Builder</x:v>
      </x:c>
      <x:c r="G12" s="31" t="str">
        <x:v>Active</x:v>
      </x:c>
      <x:c r="H12" s="31" t="str">
        <x:v>Weekly</x:v>
      </x:c>
      <x:c r="I12" s="31" t="str">
        <x:v>02</x:v>
      </x:c>
    </x:row>
  </x:sheetData>
  <x:mergeCells>
    <x:mergeCell ref="A1:J1"/>
    <x:mergeCell ref="A2:J2"/>
  </x:mergeCells>
  <x:dataValidations count="1">
    <x:dataValidation type="list" sqref="G5:G12">
      <x:formula1>"Active,Watching,Mitigated,Closed"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6" hidden="0" customWidth="1"/>
    <x:col min="4" max="4" width="38" hidden="0" customWidth="1"/>
    <x:col min="5" max="5" width="12" hidden="0" customWidth="1"/>
    <x:col min="6" max="6" width="28" hidden="0" customWidth="1"/>
  </x:cols>
  <x:sheetData>
    <x:row r="1" ht="28" customHeight="1">
      <x:c r="A1" s="5" t="str">
        <x:v>Scope Guards and 3x Rule</x:v>
      </x:c>
    </x:row>
    <x:row r="2" ht="30" customHeight="1">
      <x:c r="A2" s="13" t="str">
        <x:v>Use this when a tempting feature or client request tries to pull PJ off doctrine.</x:v>
      </x:c>
    </x:row>
    <x:row r="4" ht="26" customHeight="1">
      <x:c r="A4" s="30" t="str">
        <x:v>Area</x:v>
      </x:c>
      <x:c r="B4" s="30" t="str">
        <x:v>PJ Does</x:v>
      </x:c>
      <x:c r="C4" s="30" t="str">
        <x:v>PJ Does Not</x:v>
      </x:c>
      <x:c r="D4" s="30" t="str">
        <x:v>Default Answer</x:v>
      </x:c>
      <x:c r="E4" s="30" t="str">
        <x:v>3x Rule?</x:v>
      </x:c>
      <x:c r="F4" s="30" t="str">
        <x:v>Protected Principle</x:v>
      </x:c>
    </x:row>
    <x:row r="5">
      <x:c r="A5" s="31" t="str">
        <x:v>System of Record</x:v>
      </x:c>
      <x:c r="B5" s="31" t="str">
        <x:v>Govern explanation layer and recordstream</x:v>
      </x:c>
      <x:c r="C5" s="31" t="str">
        <x:v>Replace every existing system</x:v>
      </x:c>
      <x:c r="D5" s="31" t="str">
        <x:v>Keep your tools; PJ governs the record.</x:v>
      </x:c>
      <x:c r="E5" s="31" t="str">
        <x:v>Yes</x:v>
      </x:c>
      <x:c r="F5" s="31" t="str">
        <x:v>Containment, not displacement</x:v>
      </x:c>
    </x:row>
    <x:row r="6">
      <x:c r="A6" s="31" t="str">
        <x:v>Automation</x:v>
      </x:c>
      <x:c r="B6" s="31" t="str">
        <x:v>Run governed reminders, summaries, record updates, packet assembly</x:v>
      </x:c>
      <x:c r="C6" s="31" t="str">
        <x:v>Run silent robots with no source/basis</x:v>
      </x:c>
      <x:c r="D6" s="31" t="str">
        <x:v>Automation must write back to PRR.</x:v>
      </x:c>
      <x:c r="E6" s="31" t="str">
        <x:v>Yes</x:v>
      </x:c>
      <x:c r="F6" s="31" t="str">
        <x:v>Governed automation only</x:v>
      </x:c>
    </x:row>
    <x:row r="7">
      <x:c r="A7" s="31" t="str">
        <x:v>STAY</x:v>
      </x:c>
      <x:c r="B7" s="31" t="str">
        <x:v>Guestbook, turnover proof, maintenance evidence, owner ops</x:v>
      </x:c>
      <x:c r="C7" s="31" t="str">
        <x:v>Become PMS by default</x:v>
      </x:c>
      <x:c r="D7" s="31" t="str">
        <x:v>STAY is the visible proof skin.</x:v>
      </x:c>
      <x:c r="E7" s="31" t="str">
        <x:v>Yes</x:v>
      </x:c>
      <x:c r="F7" s="31" t="str">
        <x:v>Demo without scope creep</x:v>
      </x:c>
    </x:row>
    <x:row r="8">
      <x:c r="A8" s="31" t="str">
        <x:v>MUNI</x:v>
      </x:c>
      <x:c r="B8" s="31" t="str">
        <x:v>PRR, permits, decisions, SOPs, procurement files</x:v>
      </x:c>
      <x:c r="C8" s="31" t="str">
        <x:v>Replace ERP/clerk software/legal counsel</x:v>
      </x:c>
      <x:c r="D8" s="31" t="str">
        <x:v>MUNI keeps the file lawful and traceable.</x:v>
      </x:c>
      <x:c r="E8" s="31" t="str">
        <x:v>Yes</x:v>
      </x:c>
      <x:c r="F8" s="31" t="str">
        <x:v>Lawful record</x:v>
      </x:c>
    </x:row>
    <x:row r="9">
      <x:c r="A9" s="31" t="str">
        <x:v>PROJECT</x:v>
      </x:c>
      <x:c r="B9" s="31" t="str">
        <x:v>Funder readiness, VDR, evidence, permitting, capital project governance</x:v>
      </x:c>
      <x:c r="C9" s="31" t="str">
        <x:v>Broker/engineer/grant writer by default</x:v>
      </x:c>
      <x:c r="D9" s="31" t="str">
        <x:v>PROJECT organizes record and gaps.</x:v>
      </x:c>
      <x:c r="E9" s="31" t="str">
        <x:v>Yes</x:v>
      </x:c>
      <x:c r="F9" s="31" t="str">
        <x:v>Govern the project record</x:v>
      </x:c>
    </x:row>
    <x:row r="10">
      <x:c r="A10" s="31" t="str">
        <x:v>BIZ</x:v>
      </x:c>
      <x:c r="B10" s="31" t="str">
        <x:v>Client intake, scope, decisions, deliverables, closeout</x:v>
      </x:c>
      <x:c r="C10" s="31" t="str">
        <x:v>Become CRM/accounting replacement</x:v>
      </x:c>
      <x:c r="D10" s="31" t="str">
        <x:v>BIZ closes client work cleanly.</x:v>
      </x:c>
      <x:c r="E10" s="31" t="str">
        <x:v>Yes</x:v>
      </x:c>
      <x:c r="F10" s="31" t="str">
        <x:v>Closure over activity</x:v>
      </x:c>
    </x:row>
    <x:row r="11">
      <x:c r="A11" s="31" t="str">
        <x:v>Single/Duo</x:v>
      </x:c>
      <x:c r="B11" s="31" t="str">
        <x:v>Seed asset/doc/process set and forms with teeth</x:v>
      </x:c>
      <x:c r="C11" s="31" t="str">
        <x:v>Pretend one upload solves everything</x:v>
      </x:c>
      <x:c r="D11" s="31" t="str">
        <x:v>Upload a seed; PJ builds the governed start.</x:v>
      </x:c>
      <x:c r="E11" s="31" t="str">
        <x:v>Yes</x:v>
      </x:c>
      <x:c r="F11" s="31" t="str">
        <x:v>Small first</x:v>
      </x:c>
    </x:row>
    <x:row r="12">
      <x:c r="A12" s="31" t="str">
        <x:v>Dashboard</x:v>
      </x:c>
      <x:c r="B12" s="31" t="str">
        <x:v>Render internal depth into five tabs</x:v>
      </x:c>
      <x:c r="C12" s="31" t="str">
        <x:v>Expose every object to client</x:v>
      </x:c>
      <x:c r="D12" s="31" t="str">
        <x:v>Client sees clarity, not machine room.</x:v>
      </x:c>
      <x:c r="E12" s="31" t="str">
        <x:v>No</x:v>
      </x:c>
      <x:c r="F12" s="31" t="str">
        <x:v>Small edge</x:v>
      </x:c>
    </x:row>
    <x:row r="13">
      <x:c r="A13" s="31" t="str">
        <x:v>Packet/Seal</x:v>
      </x:c>
      <x:c r="B13" s="31" t="str">
        <x:v>Compile proof, decisions, open items, handoff</x:v>
      </x:c>
      <x:c r="C13" s="31" t="str">
        <x:v>Guarantee legal/funder approval</x:v>
      </x:c>
      <x:c r="D13" s="31" t="str">
        <x:v>PJ produces disciplined record.</x:v>
      </x:c>
      <x:c r="E13" s="31" t="str">
        <x:v>Yes</x:v>
      </x:c>
      <x:c r="F13" s="31" t="str">
        <x:v>Proof is product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28" hidden="0" customWidth="1"/>
    <x:col min="5" max="5" width="34" hidden="0" customWidth="1"/>
  </x:cols>
  <x:sheetData>
    <x:row r="1" ht="28" customHeight="1">
      <x:c r="A1" s="74" t="str">
        <x:v>Demo Script</x:v>
      </x:c>
    </x:row>
    <x:row r="2" ht="30" customHeight="1">
      <x:c r="A2" s="75" t="str">
        <x:v>Sell the outcome, not the machine.</x:v>
      </x:c>
    </x:row>
    <x:row r="4" ht="26" customHeight="1">
      <x:c r="A4" s="30" t="str">
        <x:v>Moment</x:v>
      </x:c>
      <x:c r="B4" s="30" t="str">
        <x:v>What To Say</x:v>
      </x:c>
      <x:c r="C4" s="30" t="str">
        <x:v>What To Show</x:v>
      </x:c>
      <x:c r="D4" s="30" t="str">
        <x:v>Avoid Saying</x:v>
      </x:c>
      <x:c r="E4" s="30" t="str">
        <x:v>Proof Point</x:v>
      </x:c>
    </x:row>
    <x:row r="5">
      <x:c r="A5" s="31" t="str">
        <x:v>Open</x:v>
      </x:c>
      <x:c r="B5" s="31" t="str">
        <x:v>Your tools can stay messy. The record cannot.</x:v>
      </x:c>
      <x:c r="C5" s="31" t="str">
        <x:v>Clean CaseSpace Overview</x:v>
      </x:c>
      <x:c r="D5" s="31" t="str">
        <x:v>AI automation platform</x:v>
      </x:c>
      <x:c r="E5" s="31" t="str">
        <x:v>Containment, not replacement</x:v>
      </x:c>
    </x:row>
    <x:row r="6">
      <x:c r="A6" s="31" t="str">
        <x:v>Pain</x:v>
      </x:c>
      <x:c r="B6" s="31" t="str">
        <x:v>Most work fails because decisions, documents, and proof get scattered.</x:v>
      </x:c>
      <x:c r="C6" s="31" t="str">
        <x:v>Before/after view</x:v>
      </x:c>
      <x:c r="D6" s="31" t="str">
        <x:v>Productivity gains</x:v>
      </x:c>
      <x:c r="E6" s="31" t="str">
        <x:v>Real fear: dropped balls</x:v>
      </x:c>
    </x:row>
    <x:row r="7">
      <x:c r="A7" s="31" t="str">
        <x:v>Seed</x:v>
      </x:c>
      <x:c r="B7" s="31" t="str">
        <x:v>Start with what you already have: logo, domain, listing, folder, or email thread.</x:v>
      </x:c>
      <x:c r="C7" s="31" t="str">
        <x:v>Source Profile intake</x:v>
      </x:c>
      <x:c r="D7" s="31" t="str">
        <x:v>Blank workflow builder</x:v>
      </x:c>
      <x:c r="E7" s="31" t="str">
        <x:v>Low-friction adoption</x:v>
      </x:c>
    </x:row>
    <x:row r="8">
      <x:c r="A8" s="31" t="str">
        <x:v>Form</x:v>
      </x:c>
      <x:c r="B8" s="31" t="str">
        <x:v>The form opens the work and gives it a path.</x:v>
      </x:c>
      <x:c r="C8" s="31" t="str">
        <x:v>Universal FORM</x:v>
      </x:c>
      <x:c r="D8" s="31" t="str">
        <x:v>Survey</x:v>
      </x:c>
      <x:c r="E8" s="31" t="str">
        <x:v>Forms create opportunity</x:v>
      </x:c>
    </x:row>
    <x:row r="9">
      <x:c r="A9" s="31" t="str">
        <x:v>Record</x:v>
      </x:c>
      <x:c r="B9" s="31" t="str">
        <x:v>Every important move writes to a live recordstream.</x:v>
      </x:c>
      <x:c r="C9" s="31" t="str">
        <x:v>PRR timeline</x:v>
      </x:c>
      <x:c r="D9" s="31" t="str">
        <x:v>Audit log jargon</x:v>
      </x:c>
      <x:c r="E9" s="31" t="str">
        <x:v>Never lose the thread</x:v>
      </x:c>
    </x:row>
    <x:row r="10">
      <x:c r="A10" s="31" t="str">
        <x:v>Evidence</x:v>
      </x:c>
      <x:c r="B10" s="31" t="str">
        <x:v>When something is missing, PJ asks for proof and tracks it.</x:v>
      </x:c>
      <x:c r="C10" s="31" t="str">
        <x:v>Evidence Request</x:v>
      </x:c>
      <x:c r="D10" s="31" t="str">
        <x:v>Task management</x:v>
      </x:c>
      <x:c r="E10" s="31" t="str">
        <x:v>Proof is the product</x:v>
      </x:c>
    </x:row>
    <x:row r="11">
      <x:c r="A11" s="31" t="str">
        <x:v>Gate/Check</x:v>
      </x:c>
      <x:c r="B11" s="31" t="str">
        <x:v>Before work advances, PJ checks who can decide and what is still missing.</x:v>
      </x:c>
      <x:c r="C11" s="31" t="str">
        <x:v>CAL/PRM status</x:v>
      </x:c>
      <x:c r="D11" s="31" t="str">
        <x:v>Algorithm</x:v>
      </x:c>
      <x:c r="E11" s="31" t="str">
        <x:v>Governance made visible</x:v>
      </x:c>
    </x:row>
    <x:row r="12">
      <x:c r="A12" s="31" t="str">
        <x:v>Digest</x:v>
      </x:c>
      <x:c r="B12" s="31" t="str">
        <x:v>The client sees what changed, what is missing, and what is next.</x:v>
      </x:c>
      <x:c r="C12" s="31" t="str">
        <x:v>Weekly Digest / Next Steps</x:v>
      </x:c>
      <x:c r="D12" s="31" t="str">
        <x:v>Dashboard</x:v>
      </x:c>
      <x:c r="E12" s="31" t="str">
        <x:v>Clarity at the edge</x:v>
      </x:c>
    </x:row>
    <x:row r="13">
      <x:c r="A13" s="31" t="str">
        <x:v>Seal</x:v>
      </x:c>
      <x:c r="B13" s="31" t="str">
        <x:v>When the work closes, PJ produces a sealed handoff packet.</x:v>
      </x:c>
      <x:c r="C13" s="31" t="str">
        <x:v>ARCHIEVE Packet</x:v>
      </x:c>
      <x:c r="D13" s="31" t="str">
        <x:v>Export</x:v>
      </x:c>
      <x:c r="E13" s="31" t="str">
        <x:v>Closure moment</x:v>
      </x:c>
    </x:row>
    <x:row r="14">
      <x:c r="A14" s="31" t="str">
        <x:v>Close</x:v>
      </x:c>
      <x:c r="B14" s="31" t="str">
        <x:v>Single and Duo start fast. Bigger work becomes a Live CaseSpace.</x:v>
      </x:c>
      <x:c r="C14" s="31" t="str">
        <x:v>Offer ladder</x:v>
      </x:c>
      <x:c r="D14" s="31" t="str">
        <x:v>Enterprise transformation</x:v>
      </x:c>
      <x:c r="E14" s="31" t="str">
        <x:v>Clear adoption path</x:v>
      </x:c>
    </x:row>
    <x:row r="15">
      <x:c r="A15" s="31" t="str">
        <x:v>STAY Guestbook</x:v>
      </x:c>
      <x:c r="B15" s="31" t="str">
        <x:v>The guest sees a calm house guide, not the machinery.</x:v>
      </x:c>
      <x:c r="C15" s="31" t="str">
        <x:v>View-only guestbook: info, controls, rules, local guide.</x:v>
      </x:c>
      <x:c r="D15" s="31" t="str">
        <x:v>PMS / channel manager</x:v>
      </x:c>
      <x:c r="E15" s="31" t="str">
        <x:v>Guest surface stays thin.</x:v>
      </x:c>
    </x:row>
    <x:row r="16">
      <x:c r="A16" s="31" t="str">
        <x:v>STAY Turnover</x:v>
      </x:c>
      <x:c r="B16" s="31" t="str">
        <x:v>The cleaner proves readiness with a task-bound checklist.</x:v>
      </x:c>
      <x:c r="C16" s="31" t="str">
        <x:v>Turnover checklist with photo/status evidence.</x:v>
      </x:c>
      <x:c r="D16" s="31" t="str">
        <x:v>Full labor management app</x:v>
      </x:c>
      <x:c r="E16" s="31" t="str">
        <x:v>Readiness proof writes to PRR.</x:v>
      </x:c>
    </x:row>
    <x:row r="17">
      <x:c r="A17" s="31" t="str">
        <x:v>STAY Owner View</x:v>
      </x:c>
      <x:c r="B17" s="31" t="str">
        <x:v>The owner sees arrivals, checkouts, issues, and what changed.</x:v>
      </x:c>
      <x:c r="C17" s="31" t="str">
        <x:v>Owner dashboard with arrivals/checkouts/issues/maintenance.</x:v>
      </x:c>
      <x:c r="D17" s="31" t="str">
        <x:v>Property management system</x:v>
      </x:c>
      <x:c r="E17" s="31" t="str">
        <x:v>Same CaseSpace, different permission surface.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36" hidden="0" customWidth="1"/>
    <x:col min="5" max="5" width="42" hidden="0" customWidth="1"/>
    <x:col min="6" max="6" width="16" hidden="0" customWidth="1"/>
    <x:col min="7" max="7" width="14" hidden="0" customWidth="1"/>
    <x:col min="8" max="8" width="14" hidden="0" customWidth="1"/>
    <x:col min="9" max="9" width="24" hidden="0" customWidth="1"/>
    <x:col min="10" max="10" width="30" hidden="0" customWidth="1"/>
  </x:cols>
  <x:sheetData>
    <x:row r="1" ht="28" customHeight="1">
      <x:c r="A1" s="74" t="str">
        <x:v>Launch Decision Log</x:v>
      </x:c>
      <x:c r="B1" s="72"/>
    </x:row>
    <x:row r="2" ht="30" customHeight="1">
      <x:c r="A2" s="75" t="str">
        <x:v>The running control record for product decisions after the workbook is frozen.</x:v>
      </x:c>
    </x:row>
    <x:row r="4" ht="26" customHeight="1">
      <x:c r="A4" s="30" t="str">
        <x:v>Decision ID</x:v>
      </x:c>
      <x:c r="B4" s="30" t="str">
        <x:v>Date</x:v>
      </x:c>
      <x:c r="C4" s="30" t="str">
        <x:v>Decision</x:v>
      </x:c>
      <x:c r="D4" s="30" t="str">
        <x:v>Options Considered</x:v>
      </x:c>
      <x:c r="E4" s="30" t="str">
        <x:v>Rationale</x:v>
      </x:c>
      <x:c r="F4" s="30" t="str">
        <x:v>Owner</x:v>
      </x:c>
      <x:c r="G4" s="30" t="str">
        <x:v>Status</x:v>
      </x:c>
      <x:c r="H4" s="30" t="str">
        <x:v>Revisit Date</x:v>
      </x:c>
      <x:c r="I4" s="30" t="str">
        <x:v>Evidence / Link</x:v>
      </x:c>
      <x:c r="J4" s="30" t="str">
        <x:v>Notes</x:v>
      </x:c>
    </x:row>
    <x:row r="5">
      <x:c r="A5" s="31" t="str">
        <x:v>D-001</x:v>
      </x:c>
      <x:c r="B5" s="56" t="str">
        <x:v>2026-06-28</x:v>
      </x:c>
      <x:c r="C5" s="31" t="str">
        <x:v>Final public lanes are STAY, MUNI, PROJECT, BIZ; CORE is internal</x:v>
      </x:c>
      <x:c r="D5" s="31" t="str">
        <x:v>Keep GRANT as lane; rename to PROJECT</x:v>
      </x:c>
      <x:c r="E5" s="31" t="str">
        <x:v>GRANT is a module family, not a market lane</x:v>
      </x:c>
      <x:c r="F5" s="31" t="str">
        <x:v>Nate</x:v>
      </x:c>
      <x:c r="G5" s="31" t="str">
        <x:v>Locked</x:v>
      </x:c>
      <x:c r="H5" s="31" t="str"/>
      <x:c r="I5" s="31" t="str">
        <x:v>Final lane doctrine</x:v>
      </x:c>
      <x:c r="J5" s="31" t="str"/>
    </x:row>
    <x:row r="6">
      <x:c r="A6" s="31" t="str">
        <x:v>D-002</x:v>
      </x:c>
      <x:c r="B6" s="56" t="str">
        <x:v>2026-06-28</x:v>
      </x:c>
      <x:c r="C6" s="31" t="str">
        <x:v>Single/Duo are entry modes, not lanes</x:v>
      </x:c>
      <x:c r="D6" s="31" t="str">
        <x:v>Make Single/Duo lanes; keep as pricing/adoption modes</x:v>
      </x:c>
      <x:c r="E6" s="31" t="str">
        <x:v>They cut across lanes and are easiest starter surface</x:v>
      </x:c>
      <x:c r="F6" s="31" t="str">
        <x:v>Nate</x:v>
      </x:c>
      <x:c r="G6" s="31" t="str">
        <x:v>Locked</x:v>
      </x:c>
      <x:c r="H6" s="31" t="str"/>
      <x:c r="I6" s="31" t="str">
        <x:v>Single/Duo doctrine</x:v>
      </x:c>
      <x:c r="J6" s="31" t="str"/>
    </x:row>
    <x:row r="7">
      <x:c r="A7" s="31" t="str">
        <x:v>D-003</x:v>
      </x:c>
      <x:c r="B7" s="56" t="str">
        <x:v>2026-06-28</x:v>
      </x:c>
      <x:c r="C7" s="31" t="str">
        <x:v>Build Golden Path before lane depth</x:v>
      </x:c>
      <x:c r="D7" s="31" t="str">
        <x:v>Build STAY first; build all modules; build runtime first</x:v>
      </x:c>
      <x:c r="E7" s="31" t="str">
        <x:v>Runtime proof creates reusable module factory</x:v>
      </x:c>
      <x:c r="F7" s="31" t="str">
        <x:v>Nate</x:v>
      </x:c>
      <x:c r="G7" s="31" t="str">
        <x:v>Locked</x:v>
      </x:c>
      <x:c r="H7" s="31" t="str"/>
      <x:c r="I7" s="31" t="str">
        <x:v>Golden Path spec</x:v>
      </x:c>
      <x:c r="J7" s="31" t="str"/>
    </x:row>
    <x:row r="8">
      <x:c r="A8" s="31" t="str">
        <x:v>D-004</x:v>
      </x:c>
      <x:c r="B8" s="56" t="str">
        <x:v>2026-06-28</x:v>
      </x:c>
      <x:c r="C8" s="31" t="str">
        <x:v>Governance is internal doctrine; public pitch is clarity/proof/closure</x:v>
      </x:c>
      <x:c r="D8" s="31" t="str">
        <x:v>Use governance in marketing; hide it entirely</x:v>
      </x:c>
      <x:c r="E8" s="31" t="str">
        <x:v>Translation layer lets MUNI/procurement understand while STAY/BIZ stays human</x:v>
      </x:c>
      <x:c r="F8" s="31" t="str">
        <x:v>Nate</x:v>
      </x:c>
      <x:c r="G8" s="31" t="str">
        <x:v>Locked</x:v>
      </x:c>
      <x:c r="H8" s="31" t="str"/>
      <x:c r="I8" s="31" t="str">
        <x:v>Demo script</x:v>
      </x:c>
      <x:c r="J8" s="31" t="str"/>
    </x:row>
    <x:row r="9">
      <x:c r="A9" s="31" t="str">
        <x:v>D-005</x:v>
      </x:c>
      <x:c r="B9" s="56" t="str">
        <x:v>2026-06-28</x:v>
      </x:c>
      <x:c r="C9" s="31" t="str">
        <x:v>STAY demo is limited to Guestbook, Turnover, and Owner View</x:v>
      </x:c>
      <x:c r="D9" s="31" t="str">
        <x:v>Build full PMS; build only guestbook; skip STAY demo</x:v>
      </x:c>
      <x:c r="E9" s="31" t="str">
        <x:v>Three surfaces prove the lane without hijacking the runtime</x:v>
      </x:c>
      <x:c r="F9" s="31" t="str">
        <x:v>Nate</x:v>
      </x:c>
      <x:c r="G9" s="31" t="str">
        <x:v>Locked</x:v>
      </x:c>
      <x:c r="H9" s="31"/>
      <x:c r="I9" s="31" t="str">
        <x:v>11_Launch_Locks</x:v>
      </x:c>
      <x:c r="J9" s="31" t="str">
        <x:v>No channel manager/pricing engine.</x:v>
      </x:c>
    </x:row>
    <x:row r="10">
      <x:c r="A10" s="31" t="str">
        <x:v>D-006</x:v>
      </x:c>
      <x:c r="B10" s="56" t="str">
        <x:v>2026-06-28</x:v>
      </x:c>
      <x:c r="C10" s="31" t="str">
        <x:v>Single and Duo pricing anchors are $29/mo and $59/mo</x:v>
      </x:c>
      <x:c r="D10" s="31" t="str">
        <x:v>Keep TBD; make free; price higher</x:v>
      </x:c>
      <x:c r="E10" s="31" t="str">
        <x:v>Pilot users need a real anchor; discounts can still be offered</x:v>
      </x:c>
      <x:c r="F10" s="31" t="str">
        <x:v>Nate</x:v>
      </x:c>
      <x:c r="G10" s="31" t="str">
        <x:v>Locked</x:v>
      </x:c>
      <x:c r="H10" s="31"/>
      <x:c r="I10" s="31" t="str">
        <x:v>06_Pricing_Adoption</x:v>
      </x:c>
      <x:c r="J10" s="31" t="str">
        <x:v>Internal launch assumption.</x:v>
      </x:c>
    </x:row>
    <x:row r="11">
      <x:c r="A11" s="31" t="str">
        <x:v>D-007</x:v>
      </x:c>
      <x:c r="B11" s="56" t="str">
        <x:v>2026-06-28</x:v>
      </x:c>
      <x:c r="C11" s="31" t="str">
        <x:v>Team is not built until three paying Duo users request it</x:v>
      </x:c>
      <x:c r="D11" s="31" t="str">
        <x:v>Build Team now; ignore Team; price Team only</x:v>
      </x:c>
      <x:c r="E11" s="31" t="str">
        <x:v>3x Rule applies to the adoption ladder</x:v>
      </x:c>
      <x:c r="F11" s="31" t="str">
        <x:v>Nate</x:v>
      </x:c>
      <x:c r="G11" s="31" t="str">
        <x:v>Guarded</x:v>
      </x:c>
      <x:c r="H11" s="31"/>
      <x:c r="I11" s="31" t="str">
        <x:v>06_Pricing_Adoption</x:v>
      </x:c>
      <x:c r="J11" s="31" t="str">
        <x:v>Protects Golden Path.</x:v>
      </x:c>
    </x:row>
    <x:row r="12">
      <x:c r="A12" s="31" t="str">
        <x:v>D-008</x:v>
      </x:c>
      <x:c r="B12" s="56" t="str">
        <x:v>2026-06-28</x:v>
      </x:c>
      <x:c r="C12" s="31" t="str">
        <x:v>Dashboard Composer / Edge Mapper ships with CaseSpace Factory</x:v>
      </x:c>
      <x:c r="D12" s="31" t="str">
        <x:v>Build after lane skins; build manual dashboards</x:v>
      </x:c>
      <x:c r="E12" s="31" t="str">
        <x:v>Five-tab rule only works if edge mapping exists early</x:v>
      </x:c>
      <x:c r="F12" s="31" t="str">
        <x:v>Builder</x:v>
      </x:c>
      <x:c r="G12" s="31" t="str">
        <x:v>Locked</x:v>
      </x:c>
      <x:c r="H12" s="31"/>
      <x:c r="I12" s="31" t="str">
        <x:v>03_90_Day_Execution</x:v>
      </x:c>
      <x:c r="J12" s="31" t="str">
        <x:v>Protects small edge.</x:v>
      </x:c>
    </x:row>
    <x:row r="13">
      <x:c r="B13" s="57"/>
    </x:row>
    <x:row r="14">
      <x:c r="B14" s="57"/>
    </x:row>
    <x:row r="15">
      <x:c r="B15" s="57"/>
    </x:row>
    <x:row r="16">
      <x:c r="B16" s="57"/>
    </x:row>
    <x:row r="17">
      <x:c r="B17" s="57"/>
    </x:row>
    <x:row r="18">
      <x:c r="B18" s="57"/>
    </x:row>
    <x:row r="19">
      <x:c r="B19" s="57"/>
    </x:row>
    <x:row r="20">
      <x:c r="B20" s="57"/>
    </x:row>
    <x:row r="21">
      <x:c r="B21" s="57"/>
    </x:row>
    <x:row r="22">
      <x:c r="B22" s="57"/>
    </x:row>
    <x:row r="23">
      <x:c r="B23" s="57"/>
    </x:row>
    <x:row r="24">
      <x:c r="B24" s="57"/>
    </x:row>
    <x:row r="25">
      <x:c r="B25" s="57"/>
    </x:row>
    <x:row r="26">
      <x:c r="B26" s="57"/>
    </x:row>
    <x:row r="27">
      <x:c r="B27" s="57"/>
    </x:row>
    <x:row r="28">
      <x:c r="B28" s="57"/>
    </x:row>
    <x:row r="29">
      <x:c r="B29" s="57"/>
    </x:row>
    <x:row r="30">
      <x:c r="B30" s="57"/>
    </x:row>
    <x:row r="31">
      <x:c r="B31" s="57"/>
    </x:row>
    <x:row r="32">
      <x:c r="B32" s="57"/>
    </x:row>
    <x:row r="33">
      <x:c r="B33" s="57"/>
    </x:row>
    <x:row r="34">
      <x:c r="B34" s="57"/>
    </x:row>
    <x:row r="35">
      <x:c r="B35" s="57"/>
    </x:row>
    <x:row r="36">
      <x:c r="B36" s="57"/>
    </x:row>
    <x:row r="37">
      <x:c r="B37" s="57"/>
    </x:row>
    <x:row r="38">
      <x:c r="B38" s="57"/>
    </x:row>
    <x:row r="39">
      <x:c r="B39" s="57"/>
    </x:row>
    <x:row r="40">
      <x:c r="B40" s="57"/>
    </x:row>
    <x:row r="41">
      <x:c r="B41" s="57"/>
    </x:row>
    <x:row r="42">
      <x:c r="B42" s="57"/>
    </x:row>
    <x:row r="43">
      <x:c r="B43" s="57"/>
    </x:row>
    <x:row r="44">
      <x:c r="B44" s="57"/>
    </x:row>
    <x:row r="45">
      <x:c r="B45" s="57"/>
    </x:row>
    <x:row r="46">
      <x:c r="B46" s="57"/>
    </x:row>
    <x:row r="47">
      <x:c r="B47" s="57"/>
    </x:row>
    <x:row r="48">
      <x:c r="B48" s="57"/>
    </x:row>
    <x:row r="49">
      <x:c r="B49" s="57"/>
    </x:row>
    <x:row r="50">
      <x:c r="B50" s="57"/>
    </x:row>
  </x:sheetData>
  <x:mergeCells>
    <x:mergeCell ref="A1:J1"/>
    <x:mergeCell ref="A2:J2"/>
  </x:mergeCells>
  <x:dataValidations count="1">
    <x:dataValidation type="list" sqref="G5:G50">
      <x:formula1>"Proposed,Locked,Testing,Reopened,Retired"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8" hidden="0" customWidth="1"/>
    <x:col min="4" max="4" width="44" hidden="0" customWidth="1"/>
    <x:col min="5" max="5" width="36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26" customHeight="1">
      <x:c r="A1" s="62" t="str">
        <x:v>Final Launch Locks</x:v>
      </x:c>
      <x:c r="B1" s="62"/>
      <x:c r="C1" s="62"/>
      <x:c r="D1" s="62"/>
      <x:c r="E1" s="62"/>
      <x:c r="F1" s="62"/>
      <x:c r="G1" s="62"/>
      <x:c r="H1" s="62"/>
    </x:row>
    <x:row r="2" ht="30" customHeight="1">
      <x:c r="A2" s="65" t="str">
        <x:v>Last-mile execution rules added after final review. These keep the go-forward file buildable, sellable, and protected from scope creep.</x:v>
      </x:c>
      <x:c r="B2" s="65"/>
      <x:c r="C2" s="65"/>
      <x:c r="D2" s="65"/>
      <x:c r="E2" s="65"/>
      <x:c r="F2" s="65"/>
      <x:c r="G2" s="65"/>
      <x:c r="H2" s="65"/>
    </x:row>
    <x:row r="4" ht="24" customHeight="1">
      <x:c r="A4" s="70" t="str">
        <x:v>Lock Area</x:v>
      </x:c>
      <x:c r="B4" s="70" t="str">
        <x:v>Final Answer</x:v>
      </x:c>
      <x:c r="C4" s="70" t="str">
        <x:v>Execution Rule</x:v>
      </x:c>
      <x:c r="D4" s="70" t="str">
        <x:v>Build / Demo Implication</x:v>
      </x:c>
      <x:c r="E4" s="70" t="str">
        <x:v>Do Not Build Yet</x:v>
      </x:c>
      <x:c r="F4" s="70" t="str">
        <x:v>Owner</x:v>
      </x:c>
      <x:c r="G4" s="70" t="str">
        <x:v>Status</x:v>
      </x:c>
      <x:c r="H4" s="70" t="str">
        <x:v>Notes</x:v>
      </x:c>
    </x:row>
    <x:row r="5">
      <x:c r="A5" s="31" t="str">
        <x:v>STAY Thin Demo</x:v>
      </x:c>
      <x:c r="B5" s="31" t="str">
        <x:v>Three surfaces only: Guestbook page, Turnover checklist, Owner/Operator view.</x:v>
      </x:c>
      <x:c r="C5" s="31" t="str">
        <x:v>Use Kendall Pond to prove the same governed seed-to-seal path, not to build a full property management system.</x:v>
      </x:c>
      <x:c r="D5" s="31" t="str">
        <x:v>Guestbook is view-only; cleaner checklist is task-bound with photos/status; owner view shows arrivals, checkouts, issues, maintenance, and record summary.</x:v>
      </x:c>
      <x:c r="E5" s="31" t="str">
        <x:v>Channel manager, pricing engine, PMS replacement, guest messaging automation beyond governed reminders.</x:v>
      </x:c>
      <x:c r="F5" s="31" t="str">
        <x:v>Nate</x:v>
      </x:c>
      <x:c r="G5" s="31" t="str">
        <x:v>Locked</x:v>
      </x:c>
      <x:c r="H5" s="31" t="str">
        <x:v>STAY is the visible demo, not the product definition.</x:v>
      </x:c>
    </x:row>
    <x:row r="6">
      <x:c r="A6" s="31" t="str">
        <x:v>Single Pricing</x:v>
      </x:c>
      <x:c r="B6" s="31" t="str">
        <x:v>$29/mo launch assumption.</x:v>
      </x:c>
      <x:c r="C6" s="31" t="str">
        <x:v>Lock internally before pilots so the offer has a real anchor even if pilots are comped or discounted.</x:v>
      </x:c>
      <x:c r="D6" s="31" t="str">
        <x:v>One operator, seed/source profile, housed asset set, housed document set, forms with teeth, starter CaseSpace, sealed output.</x:v>
      </x:c>
      <x:c r="E6" s="31" t="str">
        <x:v>Complex permissions, advanced automations, multi-workspace enterprise logic.</x:v>
      </x:c>
      <x:c r="F6" s="31" t="str">
        <x:v>Nate</x:v>
      </x:c>
      <x:c r="G6" s="31" t="str">
        <x:v>Locked</x:v>
      </x:c>
      <x:c r="H6" s="31" t="str">
        <x:v>Can offer free/discounted pilot without changing the public anchor.</x:v>
      </x:c>
    </x:row>
    <x:row r="7">
      <x:c r="A7" s="31" t="str">
        <x:v>Duo Pricing</x:v>
      </x:c>
      <x:c r="B7" s="31" t="str">
        <x:v>$59/mo launch assumption.</x:v>
      </x:c>
      <x:c r="C7" s="31" t="str">
        <x:v>Duo is the first shared operating surface: two people, roles, tasks, evidence, digest, and closeout.</x:v>
      </x:c>
      <x:c r="D7" s="31" t="str">
        <x:v>Two-user workspace with shared CaseSpace, role surface, decisions, evidence, documents, weekly digest, sealed output.</x:v>
      </x:c>
      <x:c r="E7" s="31" t="str">
        <x:v>Enterprise RBAC, departments, large teams, procurement-grade admin.</x:v>
      </x:c>
      <x:c r="F7" s="31" t="str">
        <x:v>Nate + Allie</x:v>
      </x:c>
      <x:c r="G7" s="31" t="str">
        <x:v>Locked</x:v>
      </x:c>
      <x:c r="H7" s="31" t="str">
        <x:v>Duo is the real test of shared governance.</x:v>
      </x:c>
    </x:row>
    <x:row r="8">
      <x:c r="A8" s="31" t="str">
        <x:v>Team Offer</x:v>
      </x:c>
      <x:c r="B8" s="31" t="str">
        <x:v>$39/seat/mo remains a later planning assumption.</x:v>
      </x:c>
      <x:c r="C8" s="31" t="str">
        <x:v>Do not build Team until at least three paying Duo users ask for it.</x:v>
      </x:c>
      <x:c r="D8" s="31" t="str">
        <x:v>Keep the ladder visible, but do not spend build cycles on Team-specific complexity.</x:v>
      </x:c>
      <x:c r="E8" s="31" t="str">
        <x:v>Team administration, org-wide permissions, bulk provisioning, nested roles.</x:v>
      </x:c>
      <x:c r="F8" s="31" t="str">
        <x:v>Nate</x:v>
      </x:c>
      <x:c r="G8" s="31" t="str">
        <x:v>Guarded</x:v>
      </x:c>
      <x:c r="H8" s="31" t="str">
        <x:v>3x Rule applies to the adoption ladder itself.</x:v>
      </x:c>
    </x:row>
    <x:row r="9">
      <x:c r="A9" s="31" t="str">
        <x:v>MUNI Light vs Full</x:v>
      </x:c>
      <x:c r="B9" s="31" t="str">
        <x:v>MUNI starts with PRR Light and Permit/Bridge demos; Full waits for procurement-grade need.</x:v>
      </x:c>
      <x:c r="C9" s="31" t="str">
        <x:v>Show lawful traceable files without accidentally becoming full municipal case management.</x:v>
      </x:c>
      <x:c r="D9" s="31" t="str">
        <x:v>MUNI PRR Light: request intake, deadline/status, response record, closure packet. MUNI Full: only after paid/procurement path.</x:v>
      </x:c>
      <x:c r="E9" s="31" t="str">
        <x:v>Full CRM, department-wide case management, unlimited workflows.</x:v>
      </x:c>
      <x:c r="F9" s="31" t="str">
        <x:v>Nate</x:v>
      </x:c>
      <x:c r="G9" s="31" t="str">
        <x:v>Guarded</x:v>
      </x:c>
      <x:c r="H9" s="31" t="str">
        <x:v>MUNI entry points are already mapped in long-form workbook; this is the go-forward lock.</x:v>
      </x:c>
    </x:row>
    <x:row r="10">
      <x:c r="A10" s="31" t="str">
        <x:v>Golden Path Priority</x:v>
      </x:c>
      <x:c r="B10" s="31" t="str">
        <x:v>No lane depth before Seed → FORM → CaseSpace → PRR → Evidence → CAL/PRM → Digest → Packet → ARCHIEVE works.</x:v>
      </x:c>
      <x:c r="C10" s="31" t="str">
        <x:v>Every demo skin must prove the same runtime, not bypass it.</x:v>
      </x:c>
      <x:c r="D10" s="31" t="str">
        <x:v>Dashboard Composer / Edge Mapper ships with CaseSpace Factory, not after.</x:v>
      </x:c>
      <x:c r="E10" s="31" t="str">
        <x:v>Lane-specific depth, custom automation, bespoke client features.</x:v>
      </x:c>
      <x:c r="F10" s="31" t="str">
        <x:v>Builder</x:v>
      </x:c>
      <x:c r="G10" s="31" t="str">
        <x:v>Locked</x:v>
      </x:c>
      <x:c r="H10" s="31" t="str">
        <x:v>This is the build constitution.</x:v>
      </x:c>
    </x:row>
  </x:sheetData>
  <x:mergeCells>
    <x:mergeCell ref="A1:H1"/>
    <x:mergeCell ref="A2:H2"/>
  </x:mergeCells>
  <x:pageMargins left="0.7" right="0.7" top="0.75" bottom="0.75" header="0.3" footer="0.3"/>
</x:worksheet>
</file>