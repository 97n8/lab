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7ce92e4657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_Panel" sheetId="1" r:id="Re4e76fe5e4214229"/>
    <x:sheet xmlns:r="http://schemas.openxmlformats.org/officeDocument/2006/relationships" name="01_Final_Lanes" sheetId="2" r:id="R8f86c4b9477b45a7"/>
    <x:sheet xmlns:r="http://schemas.openxmlformats.org/officeDocument/2006/relationships" name="02_Golden_Path" sheetId="3" r:id="R97ae220c03e04269"/>
    <x:sheet xmlns:r="http://schemas.openxmlformats.org/officeDocument/2006/relationships" name="03_90_Day_Execution" sheetId="4" r:id="Re4ab62479b0243a0"/>
    <x:sheet xmlns:r="http://schemas.openxmlformats.org/officeDocument/2006/relationships" name="04_CaseSpace_Contents" sheetId="5" r:id="R0345491453aa43af"/>
    <x:sheet xmlns:r="http://schemas.openxmlformats.org/officeDocument/2006/relationships" name="05_Tool_Connections" sheetId="6" r:id="R24d078daf5e44317"/>
    <x:sheet xmlns:r="http://schemas.openxmlformats.org/officeDocument/2006/relationships" name="06_Pricing_Adoption" sheetId="7" r:id="Rdce9458d2bed4b80"/>
    <x:sheet xmlns:r="http://schemas.openxmlformats.org/officeDocument/2006/relationships" name="07_Risk_Watchlist" sheetId="8" r:id="R7b1b72a352f643dd"/>
    <x:sheet xmlns:r="http://schemas.openxmlformats.org/officeDocument/2006/relationships" name="08_Scope_Guards" sheetId="9" r:id="Rd98f397e30784bb2"/>
    <x:sheet xmlns:r="http://schemas.openxmlformats.org/officeDocument/2006/relationships" name="09_Demo_Script" sheetId="10" r:id="R6486806254f24591"/>
    <x:sheet xmlns:r="http://schemas.openxmlformats.org/officeDocument/2006/relationships" name="10_Decision_Log" sheetId="11" r:id="R9a504937433e4f93"/>
    <x:sheet xmlns:r="http://schemas.openxmlformats.org/officeDocument/2006/relationships" name="11_Launch_Locks" sheetId="12" r:id="R31421948277d4a8c"/>
    <x:sheet xmlns:r="http://schemas.openxmlformats.org/officeDocument/2006/relationships" name="12_Verifiable_Record" sheetId="13" r:id="R10336d3683294b1a"/>
    <x:sheet xmlns:r="http://schemas.openxmlformats.org/officeDocument/2006/relationships" name="13_Receipt_Spec" sheetId="14" r:id="R4dff0e3b7d1b4572"/>
    <x:sheet xmlns:r="http://schemas.openxmlformats.org/officeDocument/2006/relationships" name="14_Canonical_Form" sheetId="15" r:id="R75b8992e2cae4509"/>
    <x:sheet xmlns:r="http://schemas.openxmlformats.org/officeDocument/2006/relationships" name="15_CaseReceipt_Manifest" sheetId="16" r:id="R03c5e532f4424e81"/>
    <x:sheet xmlns:r="http://schemas.openxmlformats.org/officeDocument/2006/relationships" name="16_Keys_Anchors" sheetId="17" r:id="Rfd3137b3484649f8"/>
    <x:sheet xmlns:r="http://schemas.openxmlformats.org/officeDocument/2006/relationships" name="17_Offline_Verifier" sheetId="18" r:id="Re58959a977ee4707"/>
    <x:sheet xmlns:r="http://schemas.openxmlformats.org/officeDocument/2006/relationships" name="18_Canon_Patch" sheetId="19" r:id="R8cd065b8fad743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1182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0"/>
      <x:color rgb="FF334155"/>
      <x:name val="Carlito"/>
    </x:font>
    <x:font>
      <x:b/>
      <x:sz val="16"/>
      <x:color rgb="FF0F172A"/>
      <x:name val="Carlito"/>
    </x:font>
    <x:font>
      <x:i/>
      <x:sz val="11"/>
      <x:color rgb="FF374151"/>
      <x:name val="Carlito"/>
    </x:font>
    <x:font>
      <x:sz val="10"/>
      <x:name val="Carlito"/>
    </x:font>
    <x:font>
      <x:b/>
      <x:sz val="11"/>
      <x:color rgb="FF0B1F33"/>
      <x:name val="Carlito"/>
    </x:font>
    <x:font>
      <x:b/>
      <x:sz val="10"/>
      <x:color rgb="FF0B1F33"/>
      <x:name val="Carlito"/>
    </x:font>
    <x:font>
      <x:b/>
      <x:sz val="10"/>
      <x:color rgb="FFFFFFFF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EF6F4"/>
      </x:patternFill>
    </x:fill>
    <x:fill>
      <x:patternFill patternType="solid">
        <x:fgColor rgb="FF0F766E"/>
      </x:patternFill>
    </x:fill>
    <x:fill>
      <x:patternFill patternType="solid">
        <x:fgColor rgb="FFD6A84F"/>
      </x:patternFill>
    </x:fill>
    <x:fill>
      <x:patternFill patternType="solid">
        <x:fgColor rgb="FFF3F4F6"/>
      </x:patternFill>
    </x:fill>
    <x:fill>
      <x:patternFill patternType="solid">
        <x:fgColor rgb="FFEAF7EF"/>
      </x:patternFill>
    </x:fill>
    <x:fill>
      <x:patternFill patternType="solid">
        <x:fgColor rgb="FFEAF2FF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4532D"/>
      </x:patternFill>
    </x:fill>
    <x:fill>
      <x:patternFill patternType="solid">
        <x:fgColor rgb="FF0B1F33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14532D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E0F2FE"/>
      </x:patternFill>
    </x:fill>
    <x:fill>
      <x:patternFill patternType="solid">
        <x:fgColor rgb="FFB8860B"/>
      </x:patternFill>
    </x:fill>
  </x:fills>
  <x:borders count="11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19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left"/>
    </x:xf>
    <x:xf numFmtId="0" fontId="1" fillId="12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2" xfId="0" applyNumberFormat="1" applyFont="1" applyFill="1" applyBorder="1"/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7" xfId="0" applyNumberFormat="1" applyFont="1" applyFill="1" applyBorder="1"/>
    <x:xf numFmtId="0" fontId="8" fillId="0" borderId="2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2" fillId="13" borderId="0" xfId="0" applyNumberFormat="1" applyFont="1" applyFill="1" applyBorder="1" applyAlignment="1">
      <x:alignment vertical="center" wrapText="1"/>
    </x:xf>
    <x:xf numFmtId="0" fontId="7" fillId="13" borderId="0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horizontal="center"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8" fillId="0" borderId="10" xfId="0" applyNumberFormat="1" applyFont="1" applyFill="1" applyBorder="1"/>
    <x:xf numFmtId="0" fontId="8" fillId="0" borderId="8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0" borderId="1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3" fillId="4" borderId="5" xfId="0" applyNumberFormat="1" applyFont="1" applyFill="1" applyBorder="1" applyAlignment="1">
      <x:alignment horizontal="center" vertical="top" wrapText="1"/>
    </x:xf>
    <x:xf numFmtId="0" fontId="3" fillId="4" borderId="6" xfId="0" applyNumberFormat="1" applyFont="1" applyFill="1" applyBorder="1" applyAlignment="1">
      <x:alignment horizontal="center" vertical="top" wrapText="1"/>
    </x:xf>
    <x:xf numFmtId="0" fontId="3" fillId="4" borderId="7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15" borderId="2" xfId="0" applyNumberFormat="1" applyFont="1" applyFill="1" applyBorder="1" applyAlignment="1">
      <x:alignment vertical="top" wrapText="1"/>
    </x:xf>
    <x:xf numFmtId="0" fontId="3" fillId="15" borderId="5" xfId="0" applyNumberFormat="1" applyFont="1" applyFill="1" applyBorder="1" applyAlignment="1">
      <x:alignment horizontal="center" vertical="top" wrapText="1"/>
    </x:xf>
    <x:xf numFmtId="0" fontId="0" fillId="15" borderId="5" xfId="0" applyNumberFormat="1" applyFont="1" applyFill="1" applyBorder="1" applyAlignment="1">
      <x:alignment vertical="top" wrapText="1"/>
    </x:xf>
    <x:xf numFmtId="0" fontId="0" fillId="15" borderId="8" xfId="0" applyNumberFormat="1" applyFont="1" applyFill="1" applyBorder="1" applyAlignment="1">
      <x:alignment vertical="top" wrapText="1"/>
    </x:xf>
    <x:xf numFmtId="0" fontId="3" fillId="15" borderId="2" xfId="0" applyNumberFormat="1" applyFont="1" applyFill="1" applyBorder="1" applyAlignment="1">
      <x:alignment vertical="top" wrapText="1"/>
    </x:xf>
    <x:xf numFmtId="0" fontId="3" fillId="15" borderId="5" xfId="0" applyNumberFormat="1" applyFont="1" applyFill="1" applyBorder="1" applyAlignment="1">
      <x:alignment vertical="top" wrapText="1"/>
    </x:xf>
    <x:xf numFmtId="0" fontId="3" fillId="15" borderId="8" xfId="0" applyNumberFormat="1" applyFont="1" applyFill="1" applyBorder="1" applyAlignment="1">
      <x:alignment vertical="top" wrapText="1"/>
    </x:xf>
    <x:xf numFmtId="0" fontId="0" fillId="16" borderId="3" xfId="0" applyNumberFormat="1" applyFont="1" applyFill="1" applyBorder="1" applyAlignment="1">
      <x:alignment vertical="top" wrapText="1"/>
    </x:xf>
    <x:xf numFmtId="0" fontId="3" fillId="16" borderId="6" xfId="0" applyNumberFormat="1" applyFont="1" applyFill="1" applyBorder="1" applyAlignment="1">
      <x:alignment horizontal="center" vertical="top" wrapText="1"/>
    </x:xf>
    <x:xf numFmtId="0" fontId="0" fillId="16" borderId="6" xfId="0" applyNumberFormat="1" applyFont="1" applyFill="1" applyBorder="1" applyAlignment="1">
      <x:alignment vertical="top" wrapText="1"/>
    </x:xf>
    <x:xf numFmtId="0" fontId="0" fillId="16" borderId="9" xfId="0" applyNumberFormat="1" applyFont="1" applyFill="1" applyBorder="1" applyAlignment="1">
      <x:alignment vertical="top" wrapText="1"/>
    </x:xf>
    <x:xf numFmtId="0" fontId="9" fillId="16" borderId="3" xfId="0" applyNumberFormat="1" applyFont="1" applyFill="1" applyBorder="1" applyAlignment="1">
      <x:alignment vertical="top" wrapText="1"/>
    </x:xf>
    <x:xf numFmtId="0" fontId="9" fillId="16" borderId="6" xfId="0" applyNumberFormat="1" applyFont="1" applyFill="1" applyBorder="1" applyAlignment="1">
      <x:alignment horizontal="center" vertical="top" wrapText="1"/>
    </x:xf>
    <x:xf numFmtId="0" fontId="9" fillId="16" borderId="6" xfId="0" applyNumberFormat="1" applyFont="1" applyFill="1" applyBorder="1" applyAlignment="1">
      <x:alignment vertical="top" wrapText="1"/>
    </x:xf>
    <x:xf numFmtId="0" fontId="9" fillId="16" borderId="9" xfId="0" applyNumberFormat="1" applyFont="1" applyFill="1" applyBorder="1" applyAlignment="1">
      <x:alignment vertical="top" wrapText="1"/>
    </x:xf>
    <x:xf numFmtId="0" fontId="8" fillId="17" borderId="2" xfId="0" applyNumberFormat="1" applyFont="1" applyFill="1" applyBorder="1" applyAlignment="1">
      <x:alignment vertical="top" wrapText="1"/>
    </x:xf>
    <x:xf numFmtId="0" fontId="8" fillId="17" borderId="5" xfId="0" applyNumberFormat="1" applyFont="1" applyFill="1" applyBorder="1" applyAlignment="1">
      <x:alignment vertical="top" wrapText="1"/>
    </x:xf>
    <x:xf numFmtId="0" fontId="8" fillId="17" borderId="8" xfId="0" applyNumberFormat="1" applyFont="1" applyFill="1" applyBorder="1" applyAlignment="1">
      <x:alignment vertical="top" wrapText="1"/>
    </x:xf>
    <x:xf numFmtId="0" fontId="10" fillId="17" borderId="2" xfId="0" applyNumberFormat="1" applyFont="1" applyFill="1" applyBorder="1" applyAlignment="1">
      <x:alignment vertical="top" wrapText="1"/>
    </x:xf>
    <x:xf numFmtId="0" fontId="10" fillId="17" borderId="5" xfId="0" applyNumberFormat="1" applyFont="1" applyFill="1" applyBorder="1" applyAlignment="1">
      <x:alignment vertical="top" wrapText="1"/>
    </x:xf>
    <x:xf numFmtId="0" fontId="10" fillId="17" borderId="8" xfId="0" applyNumberFormat="1" applyFont="1" applyFill="1" applyBorder="1" applyAlignment="1">
      <x:alignment vertical="top" wrapText="1"/>
    </x:xf>
    <x:xf numFmtId="0" fontId="8" fillId="15" borderId="2" xfId="0" applyNumberFormat="1" applyFont="1" applyFill="1" applyBorder="1" applyAlignment="1">
      <x:alignment vertical="top" wrapText="1"/>
    </x:xf>
    <x:xf numFmtId="0" fontId="8" fillId="15" borderId="5" xfId="0" applyNumberFormat="1" applyFont="1" applyFill="1" applyBorder="1" applyAlignment="1">
      <x:alignment vertical="top" wrapText="1"/>
    </x:xf>
    <x:xf numFmtId="0" fontId="8" fillId="15" borderId="8" xfId="0" applyNumberFormat="1" applyFont="1" applyFill="1" applyBorder="1" applyAlignment="1">
      <x:alignment vertical="top" wrapText="1"/>
    </x:xf>
    <x:xf numFmtId="0" fontId="11" fillId="15" borderId="2" xfId="0" applyNumberFormat="1" applyFont="1" applyFill="1" applyBorder="1" applyAlignment="1">
      <x:alignment vertical="top" wrapText="1"/>
    </x:xf>
    <x:xf numFmtId="0" fontId="11" fillId="15" borderId="5" xfId="0" applyNumberFormat="1" applyFont="1" applyFill="1" applyBorder="1" applyAlignment="1">
      <x:alignment vertical="top" wrapText="1"/>
    </x:xf>
    <x:xf numFmtId="0" fontId="11" fillId="15" borderId="8" xfId="0" applyNumberFormat="1" applyFont="1" applyFill="1" applyBorder="1" applyAlignment="1">
      <x:alignment vertical="top" wrapText="1"/>
    </x:xf>
    <x:xf numFmtId="200" fontId="8" fillId="0" borderId="0" xfId="0" applyNumberFormat="1" applyFont="1" applyFill="1" applyBorder="1"/>
    <x:xf numFmtId="200" fontId="8" fillId="0" borderId="3" xfId="0" applyNumberFormat="1" applyFont="1" applyFill="1" applyBorder="1"/>
    <x:xf numFmtId="200" fontId="8" fillId="0" borderId="6" xfId="0" applyNumberFormat="1" applyFont="1" applyFill="1" applyBorder="1"/>
    <x:xf numFmtId="200" fontId="8" fillId="0" borderId="9" xfId="0" applyNumberFormat="1" applyFont="1" applyFill="1" applyBorder="1"/>
    <x:xf numFmtId="200" fontId="8" fillId="0" borderId="3" xfId="0" applyNumberFormat="1" applyFont="1" applyFill="1" applyBorder="1" applyAlignment="1">
      <x:alignment wrapText="1"/>
    </x:xf>
    <x:xf numFmtId="200" fontId="8" fillId="0" borderId="6" xfId="0" applyNumberFormat="1" applyFont="1" applyFill="1" applyBorder="1" applyAlignment="1">
      <x:alignment wrapText="1"/>
    </x:xf>
    <x:xf numFmtId="200" fontId="8" fillId="0" borderId="9" xfId="0" applyNumberFormat="1" applyFont="1" applyFill="1" applyBorder="1" applyAlignment="1">
      <x:alignment wrapText="1"/>
    </x:xf>
    <x:xf numFmtId="200" fontId="8" fillId="0" borderId="3" xfId="0" applyNumberFormat="1" applyFont="1" applyFill="1" applyBorder="1" applyAlignment="1">
      <x:alignment vertical="top" wrapText="1"/>
    </x:xf>
    <x:xf numFmtId="200" fontId="8" fillId="0" borderId="6" xfId="0" applyNumberFormat="1" applyFont="1" applyFill="1" applyBorder="1" applyAlignment="1">
      <x:alignment vertical="top" wrapText="1"/>
    </x:xf>
    <x:xf numFmtId="200" fontId="8" fillId="0" borderId="9" xfId="0" applyNumberFormat="1" applyFont="1" applyFill="1" applyBorder="1" applyAlignment="1">
      <x:alignment vertical="top" wrapText="1"/>
    </x:xf>
    <x:xf numFmtId="0" fontId="8" fillId="18" borderId="2" xfId="0" applyNumberFormat="1" applyFont="1" applyFill="1" applyBorder="1" applyAlignment="1">
      <x:alignment vertical="top" wrapText="1"/>
    </x:xf>
    <x:xf numFmtId="0" fontId="8" fillId="18" borderId="5" xfId="0" applyNumberFormat="1" applyFont="1" applyFill="1" applyBorder="1" applyAlignment="1">
      <x:alignment vertical="top" wrapText="1"/>
    </x:xf>
    <x:xf numFmtId="0" fontId="8" fillId="18" borderId="8" xfId="0" applyNumberFormat="1" applyFont="1" applyFill="1" applyBorder="1" applyAlignment="1">
      <x:alignment vertical="top" wrapText="1"/>
    </x:xf>
    <x:xf numFmtId="0" fontId="10" fillId="18" borderId="2" xfId="0" applyNumberFormat="1" applyFont="1" applyFill="1" applyBorder="1" applyAlignment="1">
      <x:alignment vertical="top" wrapText="1"/>
    </x:xf>
    <x:xf numFmtId="0" fontId="10" fillId="18" borderId="5" xfId="0" applyNumberFormat="1" applyFont="1" applyFill="1" applyBorder="1" applyAlignment="1">
      <x:alignment vertical="top" wrapText="1"/>
    </x:xf>
    <x:xf numFmtId="0" fontId="10" fillId="18" borderId="8" xfId="0" applyNumberFormat="1" applyFont="1" applyFill="1" applyBorder="1" applyAlignment="1">
      <x:alignment vertical="top" wrapText="1"/>
    </x:xf>
    <x:xf numFmtId="0" fontId="8" fillId="19" borderId="2" xfId="0" applyNumberFormat="1" applyFont="1" applyFill="1" applyBorder="1" applyAlignment="1">
      <x:alignment vertical="top" wrapText="1"/>
    </x:xf>
    <x:xf numFmtId="0" fontId="8" fillId="19" borderId="5" xfId="0" applyNumberFormat="1" applyFont="1" applyFill="1" applyBorder="1" applyAlignment="1">
      <x:alignment vertical="top" wrapText="1"/>
    </x:xf>
    <x:xf numFmtId="0" fontId="8" fillId="19" borderId="8" xfId="0" applyNumberFormat="1" applyFont="1" applyFill="1" applyBorder="1" applyAlignment="1">
      <x:alignment vertical="top" wrapText="1"/>
    </x:xf>
    <x:xf numFmtId="0" fontId="11" fillId="19" borderId="2" xfId="0" applyNumberFormat="1" applyFont="1" applyFill="1" applyBorder="1" applyAlignment="1">
      <x:alignment vertical="top" wrapText="1"/>
    </x:xf>
    <x:xf numFmtId="0" fontId="11" fillId="19" borderId="5" xfId="0" applyNumberFormat="1" applyFont="1" applyFill="1" applyBorder="1" applyAlignment="1">
      <x:alignment vertical="top" wrapText="1"/>
    </x:xf>
    <x:xf numFmtId="0" fontId="11" fillId="19" borderId="8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e1f0324a0746c0" /><Relationship Type="http://schemas.openxmlformats.org/officeDocument/2006/relationships/theme" Target="/xl/theme/theme1.xml" Id="Rf6d19c6bac76435e" /><Relationship Type="http://schemas.openxmlformats.org/officeDocument/2006/relationships/sharedStrings" Target="/xl/sharedStrings.xml" Id="R1d9039094d074b20" /><Relationship Type="http://schemas.openxmlformats.org/officeDocument/2006/relationships/worksheet" Target="/xl/worksheets/sheet1.xml" Id="Re4e76fe5e4214229" /><Relationship Type="http://schemas.openxmlformats.org/officeDocument/2006/relationships/worksheet" Target="/xl/worksheets/sheet2.xml" Id="R8f86c4b9477b45a7" /><Relationship Type="http://schemas.openxmlformats.org/officeDocument/2006/relationships/worksheet" Target="/xl/worksheets/sheet3.xml" Id="R97ae220c03e04269" /><Relationship Type="http://schemas.openxmlformats.org/officeDocument/2006/relationships/worksheet" Target="/xl/worksheets/sheet4.xml" Id="Re4ab62479b0243a0" /><Relationship Type="http://schemas.openxmlformats.org/officeDocument/2006/relationships/worksheet" Target="/xl/worksheets/sheet5.xml" Id="R0345491453aa43af" /><Relationship Type="http://schemas.openxmlformats.org/officeDocument/2006/relationships/worksheet" Target="/xl/worksheets/sheet6.xml" Id="R24d078daf5e44317" /><Relationship Type="http://schemas.openxmlformats.org/officeDocument/2006/relationships/worksheet" Target="/xl/worksheets/sheet7.xml" Id="Rdce9458d2bed4b80" /><Relationship Type="http://schemas.openxmlformats.org/officeDocument/2006/relationships/worksheet" Target="/xl/worksheets/sheet8.xml" Id="R7b1b72a352f643dd" /><Relationship Type="http://schemas.openxmlformats.org/officeDocument/2006/relationships/worksheet" Target="/xl/worksheets/sheet9.xml" Id="Rd98f397e30784bb2" /><Relationship Type="http://schemas.openxmlformats.org/officeDocument/2006/relationships/worksheet" Target="/xl/worksheets/sheet10.xml" Id="R6486806254f24591" /><Relationship Type="http://schemas.openxmlformats.org/officeDocument/2006/relationships/worksheet" Target="/xl/worksheets/sheet11.xml" Id="R9a504937433e4f93" /><Relationship Type="http://schemas.openxmlformats.org/officeDocument/2006/relationships/worksheet" Target="/xl/worksheets/sheet12.xml" Id="R31421948277d4a8c" /><Relationship Type="http://schemas.openxmlformats.org/officeDocument/2006/relationships/worksheet" Target="/xl/worksheets/sheet13.xml" Id="R10336d3683294b1a" /><Relationship Type="http://schemas.openxmlformats.org/officeDocument/2006/relationships/worksheet" Target="/xl/worksheets/sheet14.xml" Id="R4dff0e3b7d1b4572" /><Relationship Type="http://schemas.openxmlformats.org/officeDocument/2006/relationships/worksheet" Target="/xl/worksheets/sheet15.xml" Id="R75b8992e2cae4509" /><Relationship Type="http://schemas.openxmlformats.org/officeDocument/2006/relationships/worksheet" Target="/xl/worksheets/sheet16.xml" Id="R03c5e532f4424e81" /><Relationship Type="http://schemas.openxmlformats.org/officeDocument/2006/relationships/worksheet" Target="/xl/worksheets/sheet17.xml" Id="Rfd3137b3484649f8" /><Relationship Type="http://schemas.openxmlformats.org/officeDocument/2006/relationships/worksheet" Target="/xl/worksheets/sheet18.xml" Id="Re58959a977ee4707" /><Relationship Type="http://schemas.openxmlformats.org/officeDocument/2006/relationships/worksheet" Target="/xl/worksheets/sheet19.xml" Id="R8cd065b8fad743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4" hidden="0" customWidth="1"/>
    <x:col min="3" max="3" width="60" hidden="0" customWidth="1"/>
    <x:col min="4" max="4" width="16" hidden="0" customWidth="1"/>
  </x:cols>
  <x:sheetData>
    <x:row r="1" ht="28" customHeight="1">
      <x:c r="A1" s="193" t="str">
        <x:v>PuddleJumper — Final Go Forward Workbook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</x:row>
    <x:row r="2" ht="30" customHeight="1">
      <x:c r="A2" s="75" t="str">
        <x:v>Execution file for the governed seed-to-seal build. Keep the full playbook as reference; run from this workbook.</x:v>
      </x:c>
    </x:row>
    <x:row r="4" ht="26" customHeight="1">
      <x:c r="A4" s="30" t="str">
        <x:v>Decision</x:v>
      </x:c>
      <x:c r="B4" s="30" t="str">
        <x:v>Locked Answer</x:v>
      </x:c>
      <x:c r="C4" s="30" t="str">
        <x:v>Execution Meaning</x:v>
      </x:c>
    </x:row>
    <x:row r="5">
      <x:c r="A5" s="31" t="str">
        <x:v>Category</x:v>
      </x:c>
      <x:c r="B5" s="31" t="str">
        <x:v>Governed Work Runtime</x:v>
      </x:c>
      <x:c r="C5" s="31" t="str">
        <x:v>Public promise: a clean path, a live record, and a sealed handoff for messy work.</x:v>
      </x:c>
    </x:row>
    <x:row r="6">
      <x:c r="A6" s="31" t="str">
        <x:v>Thesis</x:v>
      </x:c>
      <x:c r="B6" s="31" t="str">
        <x:v>Proof is the product</x:v>
      </x:c>
      <x:c r="C6" s="31" t="str">
        <x:v>The UI is not the moat. The governed record, checks, packets, and discipline are the moat.</x:v>
      </x:c>
    </x:row>
    <x:row r="7">
      <x:c r="A7" s="31" t="str">
        <x:v>Build Order</x:v>
      </x:c>
      <x:c r="B7" s="31" t="str">
        <x:v>Golden Path first</x:v>
      </x:c>
      <x:c r="C7" s="31" t="str">
        <x:v>Build Seed → FORM → CaseSpace → PRR → Evidence → CAL/PRM → Digest → Packet → ARCHIEVE before lane depth.</x:v>
      </x:c>
    </x:row>
    <x:row r="8">
      <x:c r="A8" s="31" t="str">
        <x:v>Lanes</x:v>
      </x:c>
      <x:c r="B8" s="31" t="str">
        <x:v>STAY · MUNI · PROJECT · BIZ</x:v>
      </x:c>
      <x:c r="C8" s="31" t="str">
        <x:v>These are market skins. CORE is internal runtime. GRANT is a PROJECT module family.</x:v>
      </x:c>
    </x:row>
    <x:row r="9">
      <x:c r="A9" s="31" t="str">
        <x:v>Entry Modes</x:v>
      </x:c>
      <x:c r="B9" s="31" t="str">
        <x:v>Single · Duo · Team · Quick Review · Bridge · Live CaseSpace</x:v>
      </x:c>
      <x:c r="C9" s="31" t="str">
        <x:v>Single/Duo stand up a housed asset set, document set, and forms with teeth from a seed.</x:v>
      </x:c>
    </x:row>
    <x:row r="10">
      <x:c r="A10" s="31" t="str">
        <x:v>Client Edge</x:v>
      </x:c>
      <x:c r="B10" s="31" t="str">
        <x:v>Five tabs max</x:v>
      </x:c>
      <x:c r="C10" s="31" t="str">
        <x:v>Overview, Intake, Documents, Decisions, Next Steps. Internal depth maps to this surface.</x:v>
      </x:c>
    </x:row>
    <x:row r="11">
      <x:c r="A11" s="31" t="str">
        <x:v>Automation Rule</x:v>
      </x:c>
      <x:c r="B11" s="31" t="str">
        <x:v>Governed automation only</x:v>
      </x:c>
      <x:c r="C11" s="31" t="str">
        <x:v>Automation is allowed only when it writes back to the recordstream and strengthens proof.</x:v>
      </x:c>
    </x:row>
    <x:row r="12">
      <x:c r="A12" s="31" t="str">
        <x:v>Product Discipline</x:v>
      </x:c>
      <x:c r="B12" s="31" t="str">
        <x:v>3x Rule</x:v>
      </x:c>
      <x:c r="C12" s="31" t="str">
        <x:v>No new repeatable feature until the same need appears three times, except core Golden Path objects.</x:v>
      </x:c>
    </x:row>
    <x:row r="13">
      <x:c r="A13"/>
      <x:c r="B13"/>
      <x:c r="C13"/>
    </x:row>
    <x:row r="14">
      <x:c r="A14" s="31" t="str">
        <x:v>Launch Lock</x:v>
      </x:c>
      <x:c r="B14" s="31" t="str">
        <x:v>STAY demo scope</x:v>
      </x:c>
      <x:c r="C14" s="31" t="str">
        <x:v>Guestbook + Turnover + Owner View only; no PMS/channel manager/pricing engine.</x:v>
      </x:c>
      <x:c r="E14" s="36" t="str">
        <x:v>Execution Snapshot</x:v>
      </x:c>
    </x:row>
    <x:row r="15">
      <x:c r="A15" s="31" t="str">
        <x:v>Launch Lock</x:v>
      </x:c>
      <x:c r="B15" s="31" t="str">
        <x:v>Pricing anchors</x:v>
      </x:c>
      <x:c r="C15" s="31" t="str">
        <x:v>Single $29/mo; Duo $59/mo; Team $39/seat later only after 3 paying Duo requests.</x:v>
      </x:c>
      <x:c r="E15" s="41" t="str">
        <x:v>Open Critical Items</x:v>
      </x:c>
      <x:c r="F15" s="46" t="n">
        <x:f>COUNTIFS('03_90_Day_Execution'!F:F,"&lt;&gt;Done",'03_90_Day_Execution'!G:G,"Critical")</x:f>
        <x:v>11</x:v>
      </x:c>
      <x:c r="H15" s="36" t="str">
        <x:v>Status</x:v>
      </x:c>
      <x:c r="I15" s="36" t="str">
        <x:v>Count</x:v>
      </x:c>
    </x:row>
    <x:row r="16">
      <x:c r="A16" s="31" t="str">
        <x:v>Launch Lock</x:v>
      </x:c>
      <x:c r="B16" s="31" t="str">
        <x:v>Team guard</x:v>
      </x:c>
      <x:c r="C16" s="31" t="str">
        <x:v>Team is listed for adoption logic, but not built until the adoption-ladder 3x Rule is met.</x:v>
      </x:c>
      <x:c r="E16" s="41" t="str">
        <x:v>Golden Path Items</x:v>
      </x:c>
      <x:c r="F16" s="46" t="n">
        <x:f>COUNTIF('03_90_Day_Execution'!C:C,"Golden Path")</x:f>
        <x:v>11</x:v>
      </x:c>
      <x:c r="H16" s="41" t="str">
        <x:v>Not Started</x:v>
      </x:c>
      <x:c r="I16" s="52" t="n">
        <x:f>COUNTIF('03_90_Day_Execution'!F:F,"Not Started")</x:f>
        <x:v>18</x:v>
      </x:c>
    </x:row>
    <x:row r="17">
      <x:c r="A17" s="31" t="str">
        <x:v>Launch Lock</x:v>
      </x:c>
      <x:c r="B17" s="31" t="str">
        <x:v>Dashboard Composer</x:v>
      </x:c>
      <x:c r="C17" s="31" t="str">
        <x:v>Ships with CaseSpace Factory so five client tabs can render deep CaseSpace layers without bloat.</x:v>
      </x:c>
      <x:c r="E17" s="41" t="str">
        <x:v>Lane Skin Items</x:v>
      </x:c>
      <x:c r="F17" s="46" t="n">
        <x:f>COUNTIF('03_90_Day_Execution'!C:C,"Lane Skin")</x:f>
        <x:v>2</x:v>
      </x:c>
      <x:c r="H17" s="41" t="str">
        <x:v>In Progress</x:v>
      </x:c>
      <x:c r="I17" s="52" t="n">
        <x:f>COUNTIF('03_90_Day_Execution'!F:F,"In Progress")</x:f>
        <x:v>1</x:v>
      </x:c>
    </x:row>
    <x:row r="18">
      <x:c r="A18" s="31" t="str">
        <x:v>Launch Lock</x:v>
      </x:c>
      <x:c r="B18" s="31" t="str">
        <x:v>Golden Path priority</x:v>
      </x:c>
      <x:c r="C18" s="31" t="str">
        <x:v>No lane-specific depth before Seed-to-Seal works end-to-end.</x:v>
      </x:c>
      <x:c r="E18" s="41" t="str">
        <x:v>Active Risks</x:v>
      </x:c>
      <x:c r="F18" s="46" t="n">
        <x:f>COUNTIF('07_Risk_Watchlist'!G:G,"Active")</x:f>
        <x:v>12</x:v>
      </x:c>
      <x:c r="H18" s="41" t="str">
        <x:v>Blocked</x:v>
      </x:c>
      <x:c r="I18" s="52" t="n">
        <x:f>COUNTIF('03_90_Day_Execution'!F:F,"Blocked")</x:f>
        <x:v>0</x:v>
      </x:c>
    </x:row>
    <x:row r="19">
      <x:c r="H19" s="41" t="str">
        <x:v>Done</x:v>
      </x:c>
      <x:c r="I19" s="52" t="n">
        <x:f>COUNTIF('03_90_Day_Execution'!F:F,"Done")</x:f>
        <x:v>0</x:v>
      </x:c>
    </x:row>
    <x:row r="21">
      <x:c r="A21" s="148" t="str">
        <x:v>Verifiable Record Lock</x:v>
      </x:c>
      <x:c r="B21" s="155" t="str">
        <x:v>Canonical Form First</x:v>
      </x:c>
      <x:c r="C21" s="140" t="str">
        <x:v>No receipt, signature, manifest, or verifier is trustworthy unless two honest verifiers derive the same canonical bytes.</x:v>
      </x:c>
    </x:row>
    <x:row r="22" ht="26" customHeight="1">
      <x:c r="A22" s="145" t="str">
        <x:v>Verifiable Record Lock</x:v>
      </x:c>
      <x:c r="B22" s="156" t="str">
        <x:v>Record vs Case Proof</x:v>
      </x:c>
      <x:c r="C22" s="125" t="str">
        <x:v>Record Receipt proves object integrity/provenance; closing CaseReceipt proves CaseSpace completeness at close.</x:v>
      </x:c>
      <x:c r="D22" s="30" t="str">
        <x:v>Status</x:v>
      </x:c>
    </x:row>
    <x:row r="23">
      <x:c r="A23" s="149" t="str">
        <x:v>Verifiable Record Lock</x:v>
      </x:c>
      <x:c r="B23" s="157" t="str">
        <x:v>Offline Verification</x:v>
      </x:c>
      <x:c r="C23" s="128" t="str">
        <x:v>Verification URL is convenience only. Packet + receipts + public keys must verify without PublicLogic servers.</x:v>
      </x:c>
      <x:c r="D23" s="31" t="str">
        <x:v>Not Started</x:v>
      </x:c>
    </x:row>
    <x:row r="24">
      <x:c r="A24" s="149" t="str">
        <x:v>Verifiable Record Lock</x:v>
      </x:c>
      <x:c r="B24" s="157" t="str">
        <x:v>Portable Immutability</x:v>
      </x:c>
      <x:c r="C24" s="128" t="str">
        <x:v>Immutability means alteration is exposed, not that PJ controls every customer copy.</x:v>
      </x:c>
      <x:c r="D24" s="31" t="str">
        <x:v>Not Started</x:v>
      </x:c>
    </x:row>
    <x:row r="25">
      <x:c r="A25" s="149" t="str">
        <x:v>Verifiable Record Lock</x:v>
      </x:c>
      <x:c r="B25" s="157" t="str">
        <x:v>Dual / Triple Signatures</x:v>
      </x:c>
      <x:c r="C25" s="128" t="str">
        <x:v>Separate runtime assembly, organization record, and authorized closure signatures.</x:v>
      </x:c>
      <x:c r="D25" s="31" t="str">
        <x:v>Not Started</x:v>
      </x:c>
    </x:row>
    <x:row r="26">
      <x:c r="A26" s="149" t="str">
        <x:v>Verifiable Record Lock</x:v>
      </x:c>
      <x:c r="B26" s="157" t="str">
        <x:v>Trust Anchor</x:v>
      </x:c>
      <x:c r="C26" s="128" t="str">
        <x:v>High-trust closeouts publish or preserve a root so omission/replacement/key compromise can be evaluated.</x:v>
      </x:c>
      <x:c r="D26" s="31" t="str">
        <x:v>Not Started</x:v>
      </x:c>
    </x:row>
    <x:row r="27">
      <x:c r="A27" s="149"/>
      <x:c r="B27" s="157"/>
      <x:c r="C27" s="128"/>
      <x:c r="D27" s="31" t="str">
        <x:v>Not Started</x:v>
      </x:c>
    </x:row>
    <x:row r="28">
      <x:c r="A28" s="150" t="str">
        <x:v>Final Build Order</x:v>
      </x:c>
      <x:c r="B28" s="158" t="str">
        <x:v>Canonical object → Record Receipt → CaseReceipt → ARCHIEVE</x:v>
      </x:c>
      <x:c r="C28" s="143" t="str">
        <x:v>Update builder brief: no-custody trust is not a feature; it is the seal architecture.</x:v>
      </x:c>
    </x:row>
    <x:row r="29">
      <x:c r="A29"/>
      <x:c r="B29"/>
      <x:c r="C29"/>
    </x:row>
    <x:row r="30">
      <x:c r="A30"/>
      <x:c r="B30"/>
      <x:c r="C30"/>
    </x:row>
  </x:sheetData>
  <x:mergeCells>
    <x:mergeCell ref="A1:J1"/>
    <x:mergeCell ref="A2:J2"/>
    <x:mergeCell ref="E14:J14"/>
  </x:mergeCells>
  <x:dataValidations count="1">
    <x:dataValidation type="list" sqref="D23:D27">
      <x:formula1>"Not Started,In Progress,Blocked,Ready,Passed"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42" hidden="0" customWidth="1"/>
    <x:col min="4" max="4" width="44" hidden="0" customWidth="1"/>
    <x:col min="5" max="5" width="24" hidden="0" customWidth="1"/>
    <x:col min="6" max="6" width="34" hidden="0" customWidth="1"/>
    <x:col min="7" max="7" width="42" hidden="0" customWidth="1"/>
  </x:cols>
  <x:sheetData>
    <x:row r="1" ht="28" customHeight="1">
      <x:c r="A1" s="5" t="str">
        <x:v>Final Lanes and Entry Modes</x:v>
      </x:c>
    </x:row>
    <x:row r="2" ht="30" customHeight="1">
      <x:c r="A2" s="13" t="str">
        <x:v>Lanes are markets. Modules are repeatable processes. Single/Duo are entry modes. CORE is internal.</x:v>
      </x:c>
    </x:row>
    <x:row r="4" ht="26" customHeight="1">
      <x:c r="A4" s="30" t="str">
        <x:v>Lane / Mode</x:v>
      </x:c>
      <x:c r="B4" s="30" t="str">
        <x:v>Type</x:v>
      </x:c>
      <x:c r="C4" s="30" t="str">
        <x:v>Public Promise</x:v>
      </x:c>
      <x:c r="D4" s="30" t="str">
        <x:v>Core Modules</x:v>
      </x:c>
      <x:c r="E4" s="30" t="str">
        <x:v>Default Buyer / User</x:v>
      </x:c>
      <x:c r="F4" s="30" t="str">
        <x:v>Primary Output</x:v>
      </x:c>
      <x:c r="G4" s="30" t="str">
        <x:v>Scope Guardrail</x:v>
      </x:c>
    </x:row>
    <x:row r="5">
      <x:c r="A5" s="31" t="str">
        <x:v>STAY</x:v>
      </x:c>
      <x:c r="B5" s="31" t="str">
        <x:v>Public lane</x:v>
      </x:c>
      <x:c r="C5" s="31" t="str">
        <x:v>Run the property cleanly, prove readiness, and keep guests/owners in sync.</x:v>
      </x:c>
      <x:c r="D5" s="31" t="str">
        <x:v>Guestbook; Turnover; Maintenance; Incident/Damage; Owner Ops</x:v>
      </x:c>
      <x:c r="E5" s="31" t="str">
        <x:v>Owner, cohost, cleaner, guest</x:v>
      </x:c>
      <x:c r="F5" s="31" t="str">
        <x:v>Guestbook, turnover proof, owner digest, incident packet</x:v>
      </x:c>
      <x:c r="G5" s="31" t="str">
        <x:v>Do not become a full PMS unless 3x proof supports it.</x:v>
      </x:c>
    </x:row>
    <x:row r="6">
      <x:c r="A6" s="31" t="str">
        <x:v>MUNI</x:v>
      </x:c>
      <x:c r="B6" s="31" t="str">
        <x:v>Public lane</x:v>
      </x:c>
      <x:c r="C6" s="31" t="str">
        <x:v>Keep public work lawful, traceable, and closed with a clean record.</x:v>
      </x:c>
      <x:c r="D6" s="31" t="str">
        <x:v>PRR Light; PRR Full; Permit &amp; Bridge; Resident Request; Board/Decision Log; Procurement File; SOP Hub</x:v>
      </x:c>
      <x:c r="E6" s="31" t="str">
        <x:v>Clerk, manager, department, board</x:v>
      </x:c>
      <x:c r="F6" s="31" t="str">
        <x:v>Lawful file, response record, decision record, closeout packet</x:v>
      </x:c>
      <x:c r="G6" s="31" t="str">
        <x:v>Do not replace ERP/clerk software/legal counsel.</x:v>
      </x:c>
    </x:row>
    <x:row r="7">
      <x:c r="A7" s="31" t="str">
        <x:v>PROJECT</x:v>
      </x:c>
      <x:c r="B7" s="31" t="str">
        <x:v>Public lane</x:v>
      </x:c>
      <x:c r="C7" s="31" t="str">
        <x:v>Turn messy project development into a funder-ready, partner-ready, decision-ready record.</x:v>
      </x:c>
      <x:c r="D7" s="31" t="str">
        <x:v>Funder Readiness; VDR Health; Partner Evidence; Permitting Path; Capital Project Governance; Grant Readiness</x:v>
      </x:c>
      <x:c r="E7" s="31" t="str">
        <x:v>Project sponsor, developer, grant team, partner group</x:v>
      </x:c>
      <x:c r="F7" s="31" t="str">
        <x:v>Evidence map, funding path, data-room gap list, handoff packet</x:v>
      </x:c>
      <x:c r="G7" s="31" t="str">
        <x:v>GRANT is a module family; do not become broker/engineer by default.</x:v>
      </x:c>
    </x:row>
    <x:row r="8">
      <x:c r="A8" s="31" t="str">
        <x:v>BIZ</x:v>
      </x:c>
      <x:c r="B8" s="31" t="str">
        <x:v>Public lane</x:v>
      </x:c>
      <x:c r="C8" s="31" t="str">
        <x:v>Give every client engagement a path, a record, and a clean handoff.</x:v>
      </x:c>
      <x:c r="D8" s="31" t="str">
        <x:v>Client Intake; Scope Builder; Evidence Request; Decision Log; Deliverable Tracker; Weekly Digest; Closeout Packet</x:v>
      </x:c>
      <x:c r="E8" s="31" t="str">
        <x:v>Consultant, professional service provider, small firm</x:v>
      </x:c>
      <x:c r="F8" s="31" t="str">
        <x:v>Client path, decision record, deliverable packet, invoice support</x:v>
      </x:c>
      <x:c r="G8" s="31" t="str">
        <x:v>Do not become generic CRM/accounting/project management tool.</x:v>
      </x:c>
    </x:row>
    <x:row r="9">
      <x:c r="A9" s="31" t="str">
        <x:v>CORE</x:v>
      </x:c>
      <x:c r="B9" s="31" t="str">
        <x:v>Internal foundation</x:v>
      </x:c>
      <x:c r="C9" s="31" t="str">
        <x:v>Every lane runs on the same governed runtime.</x:v>
      </x:c>
      <x:c r="D9" s="31" t="str">
        <x:v>FORM; CaseSpace; PRR; CAL; PRM; ARCHIEVE; VAULT; Module Maker; 3x Tracker</x:v>
      </x:c>
      <x:c r="E9" s="31" t="str">
        <x:v>Internal builder/operator</x:v>
      </x:c>
      <x:c r="F9" s="31" t="str">
        <x:v>Reusable governed runtime objects</x:v>
      </x:c>
      <x:c r="G9" s="31" t="str">
        <x:v>Do not sell CORE as a public lane.</x:v>
      </x:c>
    </x:row>
    <x:row r="10">
      <x:c r="A10" s="31" t="str">
        <x:v>Single</x:v>
      </x:c>
      <x:c r="B10" s="31" t="str">
        <x:v>Entry mode</x:v>
      </x:c>
      <x:c r="C10" s="31" t="str">
        <x:v>Upload a seed and get a housed asset set, document set, and forms with teeth.</x:v>
      </x:c>
      <x:c r="D10" s="31" t="str">
        <x:v>Seed/Profile; Asset Set; Document Set; Starter CaseSpace</x:v>
      </x:c>
      <x:c r="E10" s="31" t="str">
        <x:v>Solo operator</x:v>
      </x:c>
      <x:c r="F10" s="31" t="str">
        <x:v>Ready-to-use starter operating set</x:v>
      </x:c>
      <x:c r="G10" s="31" t="str">
        <x:v>Keep self-serve and simple.</x:v>
      </x:c>
    </x:row>
    <x:row r="11">
      <x:c r="A11" s="31" t="str">
        <x:v>Duo</x:v>
      </x:c>
      <x:c r="B11" s="31" t="str">
        <x:v>Entry mode</x:v>
      </x:c>
      <x:c r="C11" s="31" t="str">
        <x:v>Two people can share work, roles, documents, decisions, and next steps.</x:v>
      </x:c>
      <x:c r="D11" s="31" t="str">
        <x:v>Shared roles; permission surface; evidence flow; digest</x:v>
      </x:c>
      <x:c r="E11" s="31" t="str">
        <x:v>Two-person team/couple/partners</x:v>
      </x:c>
      <x:c r="F11" s="31" t="str">
        <x:v>Shared operating CaseSpace</x:v>
      </x:c>
      <x:c r="G11" s="31" t="str">
        <x:v>Do not turn into enterprise team product.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30" hidden="0" customWidth="1"/>
    <x:col min="4" max="4" width="44" hidden="0" customWidth="1"/>
    <x:col min="5" max="5" width="30" hidden="0" customWidth="1"/>
    <x:col min="6" max="6" width="28" hidden="0" customWidth="1"/>
    <x:col min="7" max="7" width="38" hidden="0" customWidth="1"/>
    <x:col min="8" max="8" width="14" hidden="0" customWidth="1"/>
  </x:cols>
  <x:sheetData>
    <x:row r="1" ht="28" customHeight="1">
      <x:c r="A1" s="79" t="str">
        <x:v>Golden Path — Build This First</x:v>
      </x:c>
      <x:c r="B1"/>
      <x:c r="C1"/>
      <x:c r="D1"/>
      <x:c r="E1"/>
      <x:c r="F1"/>
      <x:c r="G1"/>
      <x:c r="H1"/>
    </x:row>
    <x:row r="2" ht="36" customHeight="1">
      <x:c r="A2" s="108" t="str">
        <x:v>One working seed-to-seal path is the product proof. No-custody trust requires canonical objects, signed receipts, a closing CaseReceipt, and offline verification.</x:v>
      </x:c>
      <x:c r="B2" s="82"/>
      <x:c r="C2" s="82"/>
      <x:c r="D2" s="82"/>
      <x:c r="E2" s="82"/>
      <x:c r="F2" s="82"/>
      <x:c r="G2" s="82"/>
      <x:c r="H2" s="82"/>
    </x:row>
    <x:row r="3">
      <x:c r="A3"/>
      <x:c r="B3"/>
      <x:c r="C3"/>
      <x:c r="D3"/>
      <x:c r="E3"/>
      <x:c r="F3"/>
      <x:c r="G3"/>
      <x:c r="H3"/>
    </x:row>
    <x:row r="4" ht="24" customHeight="1">
      <x:c r="A4" s="109" t="str">
        <x:v>Step</x:v>
      </x:c>
      <x:c r="B4" s="109" t="str">
        <x:v>Stage</x:v>
      </x:c>
      <x:c r="C4" s="109" t="str">
        <x:v>Trigger</x:v>
      </x:c>
      <x:c r="D4" s="109" t="str">
        <x:v>PJ System Action</x:v>
      </x:c>
      <x:c r="E4" s="109" t="str">
        <x:v>Client Sees</x:v>
      </x:c>
      <x:c r="F4" s="109" t="str">
        <x:v>Record Written</x:v>
      </x:c>
      <x:c r="G4" s="109" t="str">
        <x:v>Acceptance Test</x:v>
      </x:c>
      <x:c r="H4" s="109" t="str">
        <x:v>Priority</x:v>
      </x:c>
    </x:row>
    <x:row r="5">
      <x:c r="A5" s="101" t="str">
        <x:v>GP-001</x:v>
      </x:c>
      <x:c r="B5" s="102" t="str">
        <x:v>Seed / Source Profile</x:v>
      </x:c>
      <x:c r="C5" s="102" t="str">
        <x:v>User uploads or links logo, domain, listing, Drive folder, Gmail thread, repo, or spreadsheet</x:v>
      </x:c>
      <x:c r="D5" s="102" t="str">
        <x:v>Create Source Profile and pull useful identity/document/process clues</x:v>
      </x:c>
      <x:c r="E5" s="102" t="str">
        <x:v>A starter profile with confirm/edit prompts</x:v>
      </x:c>
      <x:c r="F5" s="102" t="str">
        <x:v>Source Profile entry + origin receipt</x:v>
      </x:c>
      <x:c r="G5" s="102" t="str">
        <x:v>Seed produces visible asset/doc/process starting point</x:v>
      </x:c>
      <x:c r="H5" s="103" t="str">
        <x:v>Critical</x:v>
      </x:c>
    </x:row>
    <x:row r="6">
      <x:c r="A6" s="104" t="str">
        <x:v>GP-002</x:v>
      </x:c>
      <x:c r="B6" s="105" t="str">
        <x:v>Canonical Object</x:v>
      </x:c>
      <x:c r="C6" s="105" t="str">
        <x:v>Source Profile or source object is created</x:v>
      </x:c>
      <x:c r="D6" s="105" t="str">
        <x:v>Normalize object to PJ Canonical Form v1 and store canonical bytes in packet-ready form</x:v>
      </x:c>
      <x:c r="E6" s="105" t="str">
        <x:v>Nothing technical; user sees clean confirmed facts</x:v>
      </x:c>
      <x:c r="F6" s="105" t="str">
        <x:v>Canonical object hash</x:v>
      </x:c>
      <x:c r="G6" s="105" t="str">
        <x:v>Two verifiers hash the same bytes and match</x:v>
      </x:c>
      <x:c r="H6" s="106" t="str">
        <x:v>Critical</x:v>
      </x:c>
    </x:row>
    <x:row r="7">
      <x:c r="A7" s="104" t="str">
        <x:v>GP-003</x:v>
      </x:c>
      <x:c r="B7" s="105" t="str">
        <x:v>Record Receipt</x:v>
      </x:c>
      <x:c r="C7" s="105" t="str">
        <x:v>Canonical object exists</x:v>
      </x:c>
      <x:c r="D7" s="105" t="str">
        <x:v>Create signed receipt with identity, provenance, hash, and signature</x:v>
      </x:c>
      <x:c r="E7" s="105" t="str">
        <x:v>A small proof/receipt indicator</x:v>
      </x:c>
      <x:c r="F7" s="105" t="str">
        <x:v>Record Receipt</x:v>
      </x:c>
      <x:c r="G7" s="105" t="str">
        <x:v>Edit the object; verification fails</x:v>
      </x:c>
      <x:c r="H7" s="106" t="str">
        <x:v>Critical</x:v>
      </x:c>
    </x:row>
    <x:row r="8">
      <x:c r="A8" s="104" t="str">
        <x:v>GP-004</x:v>
      </x:c>
      <x:c r="B8" s="105" t="str">
        <x:v>Universal FORM</x:v>
      </x:c>
      <x:c r="C8" s="105" t="str">
        <x:v>User answers shortest possible intake</x:v>
      </x:c>
      <x:c r="D8" s="105" t="str">
        <x:v>Capture role, problem, desired outcome, source, deadline, owner, lane guess</x:v>
      </x:c>
      <x:c r="E8" s="105" t="str">
        <x:v>One clean form</x:v>
      </x:c>
      <x:c r="F8" s="105" t="str">
        <x:v>FORM receipt</x:v>
      </x:c>
      <x:c r="G8" s="105" t="str">
        <x:v>FORM can open a valid CaseSpace</x:v>
      </x:c>
      <x:c r="H8" s="106" t="str">
        <x:v>Critical</x:v>
      </x:c>
    </x:row>
    <x:row r="9">
      <x:c r="A9" s="104" t="str">
        <x:v>GP-005</x:v>
      </x:c>
      <x:c r="B9" s="105" t="str">
        <x:v>CaseSpace Factory</x:v>
      </x:c>
      <x:c r="C9" s="105" t="str">
        <x:v>FORM submitted</x:v>
      </x:c>
      <x:c r="D9" s="105" t="str">
        <x:v>Create CaseSpace shell with five tabs and internal object registry</x:v>
      </x:c>
      <x:c r="E9" s="105" t="str">
        <x:v>Overview, Intake, Documents, Decisions, Next Steps</x:v>
      </x:c>
      <x:c r="F9" s="105" t="str">
        <x:v>CaseSpace opened</x:v>
      </x:c>
      <x:c r="G9" s="105" t="str">
        <x:v>CaseSpace exists without manual setup</x:v>
      </x:c>
      <x:c r="H9" s="106" t="str">
        <x:v>Critical</x:v>
      </x:c>
    </x:row>
    <x:row r="10">
      <x:c r="A10" s="104" t="str">
        <x:v>GP-006</x:v>
      </x:c>
      <x:c r="B10" s="105" t="str">
        <x:v>PRR / Recordstream</x:v>
      </x:c>
      <x:c r="C10" s="105" t="str">
        <x:v>CaseSpace opens</x:v>
      </x:c>
      <x:c r="D10" s="105" t="str">
        <x:v>Start event chain of meaningful actions; each material event receives a receipt</x:v>
      </x:c>
      <x:c r="E10" s="105" t="str">
        <x:v>Plain-language history summary</x:v>
      </x:c>
      <x:c r="F10" s="105" t="str">
        <x:v>PRR event receipts</x:v>
      </x:c>
      <x:c r="G10" s="105" t="str">
        <x:v>Every major action writes to PRR and receipt chain</x:v>
      </x:c>
      <x:c r="H10" s="106" t="str">
        <x:v>Critical</x:v>
      </x:c>
    </x:row>
    <x:row r="11">
      <x:c r="A11" s="104" t="str">
        <x:v>GP-007</x:v>
      </x:c>
      <x:c r="B11" s="105" t="str">
        <x:v>Evidence Request</x:v>
      </x:c>
      <x:c r="C11" s="105" t="str">
        <x:v>Needed proof is missing</x:v>
      </x:c>
      <x:c r="D11" s="105" t="str">
        <x:v>Create request, assign owner, set status, route response</x:v>
      </x:c>
      <x:c r="E11" s="105" t="str">
        <x:v>What is missing and who owes it</x:v>
      </x:c>
      <x:c r="F11" s="105" t="str">
        <x:v>Evidence receipt</x:v>
      </x:c>
      <x:c r="G11" s="105" t="str">
        <x:v>Requester can submit proof and update status</x:v>
      </x:c>
      <x:c r="H11" s="106" t="str">
        <x:v>Critical</x:v>
      </x:c>
    </x:row>
    <x:row r="12">
      <x:c r="A12" s="104" t="str">
        <x:v>GP-008</x:v>
      </x:c>
      <x:c r="B12" s="105" t="str">
        <x:v>Decision Log</x:v>
      </x:c>
      <x:c r="C12" s="105" t="str">
        <x:v>A choice is made or needed</x:v>
      </x:c>
      <x:c r="D12" s="105" t="str">
        <x:v>Capture decision, basis, owner, authority, source, next action</x:v>
      </x:c>
      <x:c r="E12" s="105" t="str">
        <x:v>Decision and why it matters</x:v>
      </x:c>
      <x:c r="F12" s="105" t="str">
        <x:v>Decision receipt</x:v>
      </x:c>
      <x:c r="G12" s="105" t="str">
        <x:v>Decision has owner, basis, and next action</x:v>
      </x:c>
      <x:c r="H12" s="106" t="str">
        <x:v>High</x:v>
      </x:c>
    </x:row>
    <x:row r="13">
      <x:c r="A13" s="104" t="str">
        <x:v>GP-009</x:v>
      </x:c>
      <x:c r="B13" s="105" t="str">
        <x:v>CAL Gate</x:v>
      </x:c>
      <x:c r="C13" s="105" t="str">
        <x:v>Work tries to advance</x:v>
      </x:c>
      <x:c r="D13" s="105" t="str">
        <x:v>Check role, authority, sequence, permission, and next-move legitimacy</x:v>
      </x:c>
      <x:c r="E13" s="105" t="str">
        <x:v>A plain next-action/gate message</x:v>
      </x:c>
      <x:c r="F13" s="105" t="str">
        <x:v>CAL check receipt</x:v>
      </x:c>
      <x:c r="G13" s="105" t="str">
        <x:v>Wrong actor/action is flagged before advancement</x:v>
      </x:c>
      <x:c r="H13" s="106" t="str">
        <x:v>Critical</x:v>
      </x:c>
    </x:row>
    <x:row r="14">
      <x:c r="A14" s="104" t="str">
        <x:v>GP-010</x:v>
      </x:c>
      <x:c r="B14" s="105" t="str">
        <x:v>PRM Check</x:v>
      </x:c>
      <x:c r="C14" s="105" t="str">
        <x:v>Closeout or milestone requested</x:v>
      </x:c>
      <x:c r="D14" s="105" t="str">
        <x:v>Check proof, risk, completeness, missing items</x:v>
      </x:c>
      <x:c r="E14" s="105" t="str">
        <x:v>Readiness as action list</x:v>
      </x:c>
      <x:c r="F14" s="105" t="str">
        <x:v>PRM check receipt</x:v>
      </x:c>
      <x:c r="G14" s="105" t="str">
        <x:v>Missing proof is surfaced before closeout</x:v>
      </x:c>
      <x:c r="H14" s="106" t="str">
        <x:v>Critical</x:v>
      </x:c>
    </x:row>
    <x:row r="15">
      <x:c r="A15" s="104" t="str">
        <x:v>GP-011</x:v>
      </x:c>
      <x:c r="B15" s="105" t="str">
        <x:v>Digest + Edge Mapping</x:v>
      </x:c>
      <x:c r="C15" s="105" t="str">
        <x:v>Time/event threshold or record change</x:v>
      </x:c>
      <x:c r="D15" s="105" t="str">
        <x:v>Summarize what changed and map internal depth to five-tab edge</x:v>
      </x:c>
      <x:c r="E15" s="105" t="str">
        <x:v>Digest/clean status/next steps</x:v>
      </x:c>
      <x:c r="F15" s="105" t="str">
        <x:v>Digest/view update receipt</x:v>
      </x:c>
      <x:c r="G15" s="105" t="str">
        <x:v>Deep CaseSpace renders without bloat</x:v>
      </x:c>
      <x:c r="H15" s="106" t="str">
        <x:v>Critical</x:v>
      </x:c>
    </x:row>
    <x:row r="16">
      <x:c r="A16" s="104" t="str">
        <x:v>GP-012</x:v>
      </x:c>
      <x:c r="B16" s="105" t="str">
        <x:v>Packet Builder</x:v>
      </x:c>
      <x:c r="C16" s="105" t="str">
        <x:v>Closeout or handoff begins</x:v>
      </x:c>
      <x:c r="D16" s="105" t="str">
        <x:v>Compile canonical objects, receipts, evidence, decisions, checks, open items, and human packet</x:v>
      </x:c>
      <x:c r="E16" s="105" t="str">
        <x:v>Reviewable packet draft</x:v>
      </x:c>
      <x:c r="F16" s="105" t="str">
        <x:v>Packet manifest</x:v>
      </x:c>
      <x:c r="G16" s="105" t="str">
        <x:v>Packet proves outcome instead of dumping data</x:v>
      </x:c>
      <x:c r="H16" s="106" t="str">
        <x:v>Critical</x:v>
      </x:c>
    </x:row>
    <x:row r="17">
      <x:c r="A17" s="104" t="str">
        <x:v>GP-013</x:v>
      </x:c>
      <x:c r="B17" s="105" t="str">
        <x:v>CaseReceipt Manifest</x:v>
      </x:c>
      <x:c r="C17" s="105" t="str">
        <x:v>Packet accepted / work closes</x:v>
      </x:c>
      <x:c r="D17" s="105" t="str">
        <x:v>Commit to every member receipt, counts, ordered root, packet hash, and final PRR state</x:v>
      </x:c>
      <x:c r="E17" s="105" t="str">
        <x:v>Sealed case summary and receipt count</x:v>
      </x:c>
      <x:c r="F17" s="105" t="str">
        <x:v>CaseReceipt</x:v>
      </x:c>
      <x:c r="G17" s="105" t="str">
        <x:v>Remove any receipt; completeness verification fails</x:v>
      </x:c>
      <x:c r="H17" s="106" t="str">
        <x:v>Critical</x:v>
      </x:c>
    </x:row>
    <x:row r="18">
      <x:c r="A18" s="117" t="str">
        <x:v>GP-014</x:v>
      </x:c>
      <x:c r="B18" s="118" t="str">
        <x:v>ARCHIEVE Seal + Trust Anchor</x:v>
      </x:c>
      <x:c r="C18" s="118" t="str">
        <x:v>CaseReceipt signed</x:v>
      </x:c>
      <x:c r="D18" s="118" t="str">
        <x:v>Apply runtime/org/closure signatures and optional external anchor; export offline-verifiable packet</x:v>
      </x:c>
      <x:c r="E18" s="118" t="str">
        <x:v>Sealed handoff with verification instructions</x:v>
      </x:c>
      <x:c r="F18" s="118" t="str">
        <x:v>ARCHIEVE seal + anchor reference</x:v>
      </x:c>
      <x:c r="G18" s="118" t="str">
        <x:v>Packet verifies offline; anchor verifies when available</x:v>
      </x:c>
      <x:c r="H18" s="119" t="str">
        <x:v>Critical</x:v>
      </x:c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</x:sheetData>
  <x:mergeCells>
    <x:mergeCell ref="A1:J1"/>
    <x:mergeCell ref="A2:J2"/>
    <x:mergeCell ref="A1:H1"/>
  </x:mergeCells>
  <x:dataValidations count="1">
    <x:dataValidation type="list" sqref="H5:H16">
      <x:formula1>"Critical,High,Medium,Low"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34" hidden="0" customWidth="1"/>
    <x:col min="5" max="5" width="16" hidden="0" customWidth="1"/>
    <x:col min="6" max="6" width="15" hidden="0" customWidth="1"/>
    <x:col min="7" max="7" width="12" hidden="0" customWidth="1"/>
    <x:col min="8" max="8" width="45" hidden="0" customWidth="1"/>
    <x:col min="9" max="9" width="24" hidden="0" customWidth="1"/>
    <x:col min="10" max="10" width="22" hidden="0" customWidth="1"/>
    <x:col min="11" max="11" width="36" hidden="0" customWidth="1"/>
  </x:cols>
  <x:sheetData>
    <x:row r="1" ht="28" customHeight="1">
      <x:c r="A1" s="74" t="str">
        <x:v>90-Day Execution Plan</x:v>
      </x:c>
    </x:row>
    <x:row r="2" ht="30" customHeight="1">
      <x:c r="A2" s="75" t="str">
        <x:v>Run this sheet weekly. Do not build lane-specific depth until Golden Path reaches the seal.</x:v>
      </x:c>
    </x:row>
    <x:row r="4" ht="26" customHeight="1">
      <x:c r="A4" s="71" t="str">
        <x:v>Phase</x:v>
      </x:c>
      <x:c r="B4" s="71" t="str">
        <x:v>Window</x:v>
      </x:c>
      <x:c r="C4" s="71" t="str">
        <x:v>Workstream</x:v>
      </x:c>
      <x:c r="D4" s="71" t="str">
        <x:v>Build Item</x:v>
      </x:c>
      <x:c r="E4" s="71" t="str">
        <x:v>Owner</x:v>
      </x:c>
      <x:c r="F4" s="71" t="str">
        <x:v>Status</x:v>
      </x:c>
      <x:c r="G4" s="71" t="str">
        <x:v>Priority</x:v>
      </x:c>
      <x:c r="H4" s="71" t="str">
        <x:v>Acceptance Test</x:v>
      </x:c>
      <x:c r="I4" s="71" t="str">
        <x:v>Output</x:v>
      </x:c>
      <x:c r="J4" s="71" t="str">
        <x:v>Dependencies</x:v>
      </x:c>
      <x:c r="K4" s="71" t="str">
        <x:v>Notes</x:v>
      </x:c>
    </x:row>
    <x:row r="5">
      <x:c r="A5" s="31" t="str">
        <x:v>0</x:v>
      </x:c>
      <x:c r="B5" s="31" t="str">
        <x:v>Day 0-3</x:v>
      </x:c>
      <x:c r="C5" s="31" t="str">
        <x:v>Doctrine</x:v>
      </x:c>
      <x:c r="D5" s="31" t="str">
        <x:v>Freeze names, lanes, pricing assumptions, and public promise</x:v>
      </x:c>
      <x:c r="E5" s="31" t="str">
        <x:v>Nate</x:v>
      </x:c>
      <x:c r="F5" s="31" t="str">
        <x:v>In Progress</x:v>
      </x:c>
      <x:c r="G5" s="31" t="str">
        <x:v>Critical</x:v>
      </x:c>
      <x:c r="H5" s="31" t="str">
        <x:v>Public pitch and internal doctrine are consistent</x:v>
      </x:c>
      <x:c r="I5" s="31" t="str">
        <x:v>Doctrine card</x:v>
      </x:c>
      <x:c r="J5" s="31" t="str">
        <x:v>None</x:v>
      </x:c>
      <x:c r="K5" s="31" t="str">
        <x:v>Governance internally; clarity/proof/closure publicly.</x:v>
      </x:c>
    </x:row>
    <x:row r="6">
      <x:c r="A6" s="31" t="str">
        <x:v>1</x:v>
      </x:c>
      <x:c r="B6" s="31" t="str">
        <x:v>Week 1</x:v>
      </x:c>
      <x:c r="C6" s="31" t="str">
        <x:v>Golden Path</x:v>
      </x:c>
      <x:c r="D6" s="31" t="str">
        <x:v>GP-001 Seed / Source Profile intake</x:v>
      </x:c>
      <x:c r="E6" s="31" t="str">
        <x:v>Builder</x:v>
      </x:c>
      <x:c r="F6" s="31" t="str">
        <x:v>Not Started</x:v>
      </x:c>
      <x:c r="G6" s="31" t="str">
        <x:v>Critical</x:v>
      </x:c>
      <x:c r="H6" s="31" t="str">
        <x:v>Seed creates a useful starter profile</x:v>
      </x:c>
      <x:c r="I6" s="31" t="str">
        <x:v>Source Profile</x:v>
      </x:c>
      <x:c r="J6" s="31" t="str">
        <x:v>Doctrine lock</x:v>
      </x:c>
      <x:c r="K6" s="31" t="str">
        <x:v>Single/Duo front door.</x:v>
      </x:c>
    </x:row>
    <x:row r="7">
      <x:c r="A7" s="31" t="str">
        <x:v>1</x:v>
      </x:c>
      <x:c r="B7" s="31" t="str">
        <x:v>Week 1</x:v>
      </x:c>
      <x:c r="C7" s="31" t="str">
        <x:v>Golden Path</x:v>
      </x:c>
      <x:c r="D7" s="31" t="str">
        <x:v>GP-002 Universal FORM</x:v>
      </x:c>
      <x:c r="E7" s="31" t="str">
        <x:v>Builder</x:v>
      </x:c>
      <x:c r="F7" s="31" t="str">
        <x:v>Not Started</x:v>
      </x:c>
      <x:c r="G7" s="31" t="str">
        <x:v>Critical</x:v>
      </x:c>
      <x:c r="H7" s="31" t="str">
        <x:v>One form opens the work with enough context</x:v>
      </x:c>
      <x:c r="I7" s="31" t="str">
        <x:v>Universal FORM</x:v>
      </x:c>
      <x:c r="J7" s="31" t="str">
        <x:v>Source Profile</x:v>
      </x:c>
      <x:c r="K7" s="31" t="str">
        <x:v>Keep form short.</x:v>
      </x:c>
    </x:row>
    <x:row r="8">
      <x:c r="A8" s="31" t="str">
        <x:v>1</x:v>
      </x:c>
      <x:c r="B8" s="31" t="str">
        <x:v>Week 2</x:v>
      </x:c>
      <x:c r="C8" s="31" t="str">
        <x:v>Golden Path</x:v>
      </x:c>
      <x:c r="D8" s="31" t="str">
        <x:v>GP-003 CaseSpace Factory</x:v>
      </x:c>
      <x:c r="E8" s="31" t="str">
        <x:v>Builder</x:v>
      </x:c>
      <x:c r="F8" s="31" t="str">
        <x:v>Not Started</x:v>
      </x:c>
      <x:c r="G8" s="31" t="str">
        <x:v>Critical</x:v>
      </x:c>
      <x:c r="H8" s="31" t="str">
        <x:v>FORM creates a five-tab CaseSpace with object registry</x:v>
      </x:c>
      <x:c r="I8" s="31" t="str">
        <x:v>Starter CaseSpace</x:v>
      </x:c>
      <x:c r="J8" s="31" t="str">
        <x:v>Universal FORM</x:v>
      </x:c>
      <x:c r="K8" s="31" t="str">
        <x:v>No lane complexity yet.</x:v>
      </x:c>
    </x:row>
    <x:row r="9">
      <x:c r="A9" s="31" t="str">
        <x:v>2</x:v>
      </x:c>
      <x:c r="B9" s="31" t="str">
        <x:v>Week 2-3</x:v>
      </x:c>
      <x:c r="C9" s="31" t="str">
        <x:v>Golden Path</x:v>
      </x:c>
      <x:c r="D9" s="31" t="str">
        <x:v>GP-004 PRR / Recordstream opens automatically</x:v>
      </x:c>
      <x:c r="E9" s="31" t="str">
        <x:v>Builder</x:v>
      </x:c>
      <x:c r="F9" s="31" t="str">
        <x:v>Not Started</x:v>
      </x:c>
      <x:c r="G9" s="31" t="str">
        <x:v>Critical</x:v>
      </x:c>
      <x:c r="H9" s="31" t="str">
        <x:v>Every major action writes to recordstream</x:v>
      </x:c>
      <x:c r="I9" s="31" t="str">
        <x:v>Append-only PRR</x:v>
      </x:c>
      <x:c r="J9" s="31" t="str">
        <x:v>CaseSpace Factory</x:v>
      </x:c>
      <x:c r="K9" s="31" t="str">
        <x:v>Proof starts here.</x:v>
      </x:c>
    </x:row>
    <x:row r="10">
      <x:c r="A10" s="31" t="str">
        <x:v>2</x:v>
      </x:c>
      <x:c r="B10" s="31" t="str">
        <x:v>Week 3</x:v>
      </x:c>
      <x:c r="C10" s="31" t="str">
        <x:v>Golden Path</x:v>
      </x:c>
      <x:c r="D10" s="31" t="str">
        <x:v>GP-005 Evidence Request object</x:v>
      </x:c>
      <x:c r="E10" s="31" t="str">
        <x:v>Builder</x:v>
      </x:c>
      <x:c r="F10" s="31" t="str">
        <x:v>Not Started</x:v>
      </x:c>
      <x:c r="G10" s="31" t="str">
        <x:v>Critical</x:v>
      </x:c>
      <x:c r="H10" s="31" t="str">
        <x:v>Request/response/status writes back to PRR</x:v>
      </x:c>
      <x:c r="I10" s="31" t="str">
        <x:v>Evidence flow</x:v>
      </x:c>
      <x:c r="J10" s="31" t="str">
        <x:v>PRR</x:v>
      </x:c>
      <x:c r="K10" s="31" t="str">
        <x:v>Powers all lanes.</x:v>
      </x:c>
    </x:row>
    <x:row r="11">
      <x:c r="A11" s="31" t="str">
        <x:v>3</x:v>
      </x:c>
      <x:c r="B11" s="31" t="str">
        <x:v>Week 4</x:v>
      </x:c>
      <x:c r="C11" s="31" t="str">
        <x:v>Golden Path</x:v>
      </x:c>
      <x:c r="D11" s="31" t="str">
        <x:v>GP-006 Decision Log object</x:v>
      </x:c>
      <x:c r="E11" s="31" t="str">
        <x:v>Builder</x:v>
      </x:c>
      <x:c r="F11" s="31" t="str">
        <x:v>Not Started</x:v>
      </x:c>
      <x:c r="G11" s="31" t="str">
        <x:v>High</x:v>
      </x:c>
      <x:c r="H11" s="31" t="str">
        <x:v>Decision records owner, basis, date, source, next action</x:v>
      </x:c>
      <x:c r="I11" s="31" t="str">
        <x:v>Decision Log</x:v>
      </x:c>
      <x:c r="J11" s="31" t="str">
        <x:v>PRR</x:v>
      </x:c>
      <x:c r="K11" s="31" t="str">
        <x:v>No overbuilt approvals yet.</x:v>
      </x:c>
    </x:row>
    <x:row r="12">
      <x:c r="A12" s="31" t="str">
        <x:v>3</x:v>
      </x:c>
      <x:c r="B12" s="31" t="str">
        <x:v>Week 5</x:v>
      </x:c>
      <x:c r="C12" s="31" t="str">
        <x:v>Golden Path</x:v>
      </x:c>
      <x:c r="D12" s="31" t="str">
        <x:v>GP-007 CAL Gate MVP</x:v>
      </x:c>
      <x:c r="E12" s="31" t="str">
        <x:v>Builder</x:v>
      </x:c>
      <x:c r="F12" s="31" t="str">
        <x:v>Not Started</x:v>
      </x:c>
      <x:c r="G12" s="31" t="str">
        <x:v>Critical</x:v>
      </x:c>
      <x:c r="H12" s="31" t="str">
        <x:v>Who can make next move is visible and recorded</x:v>
      </x:c>
      <x:c r="I12" s="31" t="str">
        <x:v>CAL Gate</x:v>
      </x:c>
      <x:c r="J12" s="31" t="str">
        <x:v>Decision Log</x:v>
      </x:c>
      <x:c r="K12" s="31" t="str">
        <x:v>Simple role/authority rules first.</x:v>
      </x:c>
    </x:row>
    <x:row r="13">
      <x:c r="A13" s="31" t="str">
        <x:v>3</x:v>
      </x:c>
      <x:c r="B13" s="31" t="str">
        <x:v>Week 5-6</x:v>
      </x:c>
      <x:c r="C13" s="31" t="str">
        <x:v>Golden Path</x:v>
      </x:c>
      <x:c r="D13" s="31" t="str">
        <x:v>GP-008 PRM Check MVP</x:v>
      </x:c>
      <x:c r="E13" s="31" t="str">
        <x:v>Builder</x:v>
      </x:c>
      <x:c r="F13" s="31" t="str">
        <x:v>Not Started</x:v>
      </x:c>
      <x:c r="G13" s="31" t="str">
        <x:v>Critical</x:v>
      </x:c>
      <x:c r="H13" s="31" t="str">
        <x:v>Missing proof and risks surface before closeout</x:v>
      </x:c>
      <x:c r="I13" s="31" t="str">
        <x:v>PRM Check</x:v>
      </x:c>
      <x:c r="J13" s="31" t="str">
        <x:v>Evidence flow</x:v>
      </x:c>
      <x:c r="K13" s="31" t="str">
        <x:v>Readiness as action list.</x:v>
      </x:c>
    </x:row>
    <x:row r="14">
      <x:c r="A14" s="31" t="str">
        <x:v>4</x:v>
      </x:c>
      <x:c r="B14" s="31" t="str">
        <x:v>Week 6-7</x:v>
      </x:c>
      <x:c r="C14" s="31" t="str">
        <x:v>Client Edge</x:v>
      </x:c>
      <x:c r="D14" s="31" t="str">
        <x:v>Dashboard Composer / Edge Mapper</x:v>
      </x:c>
      <x:c r="E14" s="31" t="str">
        <x:v>Builder</x:v>
      </x:c>
      <x:c r="F14" s="31" t="str">
        <x:v>Not Started</x:v>
      </x:c>
      <x:c r="G14" s="31" t="str">
        <x:v>Critical</x:v>
      </x:c>
      <x:c r="H14" s="31" t="str">
        <x:v>20+ layers render into five tabs</x:v>
      </x:c>
      <x:c r="I14" s="31" t="str">
        <x:v>Five-tab client view</x:v>
      </x:c>
      <x:c r="J14" s="31" t="str">
        <x:v>CaseSpace + PRR</x:v>
      </x:c>
      <x:c r="K14" s="31" t="str">
        <x:v>Ship with CaseSpace, not after.</x:v>
      </x:c>
    </x:row>
    <x:row r="15">
      <x:c r="A15" s="31" t="str">
        <x:v>4</x:v>
      </x:c>
      <x:c r="B15" s="31" t="str">
        <x:v>Week 7</x:v>
      </x:c>
      <x:c r="C15" s="31" t="str">
        <x:v>Golden Path</x:v>
      </x:c>
      <x:c r="D15" s="31" t="str">
        <x:v>Weekly Digest / Next Steps generator</x:v>
      </x:c>
      <x:c r="E15" s="31" t="str">
        <x:v>Builder</x:v>
      </x:c>
      <x:c r="F15" s="31" t="str">
        <x:v>Not Started</x:v>
      </x:c>
      <x:c r="G15" s="31" t="str">
        <x:v>High</x:v>
      </x:c>
      <x:c r="H15" s="31" t="str">
        <x:v>Digest shows changes, missing items, and next actions</x:v>
      </x:c>
      <x:c r="I15" s="31" t="str">
        <x:v>Weekly Digest</x:v>
      </x:c>
      <x:c r="J15" s="31" t="str">
        <x:v>PRR + Edge Mapper</x:v>
      </x:c>
      <x:c r="K15" s="31" t="str">
        <x:v>Client clarity layer.</x:v>
      </x:c>
    </x:row>
    <x:row r="16">
      <x:c r="A16" s="31" t="str">
        <x:v>5</x:v>
      </x:c>
      <x:c r="B16" s="31" t="str">
        <x:v>Week 8-9</x:v>
      </x:c>
      <x:c r="C16" s="31" t="str">
        <x:v>Golden Path</x:v>
      </x:c>
      <x:c r="D16" s="31" t="str">
        <x:v>Packet Builder MVP</x:v>
      </x:c>
      <x:c r="E16" s="31" t="str">
        <x:v>Builder</x:v>
      </x:c>
      <x:c r="F16" s="31" t="str">
        <x:v>Not Started</x:v>
      </x:c>
      <x:c r="G16" s="31" t="str">
        <x:v>Critical</x:v>
      </x:c>
      <x:c r="H16" s="31" t="str">
        <x:v>Packet compiles proof, decisions, status, and handoff</x:v>
      </x:c>
      <x:c r="I16" s="31" t="str">
        <x:v>Handoff Packet</x:v>
      </x:c>
      <x:c r="J16" s="31" t="str">
        <x:v>PRR + PRM</x:v>
      </x:c>
      <x:c r="K16" s="31" t="str">
        <x:v>Not a report dump.</x:v>
      </x:c>
    </x:row>
    <x:row r="17">
      <x:c r="A17" s="31" t="str">
        <x:v>5</x:v>
      </x:c>
      <x:c r="B17" s="31" t="str">
        <x:v>Week 9-10</x:v>
      </x:c>
      <x:c r="C17" s="31" t="str">
        <x:v>Golden Path</x:v>
      </x:c>
      <x:c r="D17" s="31" t="str">
        <x:v>ARCHIEVE Seal MVP</x:v>
      </x:c>
      <x:c r="E17" s="31" t="str">
        <x:v>Builder</x:v>
      </x:c>
      <x:c r="F17" s="31" t="str">
        <x:v>Not Started</x:v>
      </x:c>
      <x:c r="G17" s="31" t="str">
        <x:v>Critical</x:v>
      </x:c>
      <x:c r="H17" s="31" t="str">
        <x:v>CaseSpace can close with sealed packet</x:v>
      </x:c>
      <x:c r="I17" s="31" t="str">
        <x:v>ARCHIEVE Seal</x:v>
      </x:c>
      <x:c r="J17" s="31" t="str">
        <x:v>Packet Builder</x:v>
      </x:c>
      <x:c r="K17" s="31" t="str">
        <x:v>Product moment.</x:v>
      </x:c>
    </x:row>
    <x:row r="18">
      <x:c r="A18" s="31" t="str">
        <x:v>6</x:v>
      </x:c>
      <x:c r="B18" s="31" t="str">
        <x:v>Week 10-11</x:v>
      </x:c>
      <x:c r="C18" s="31" t="str">
        <x:v>Adoption</x:v>
      </x:c>
      <x:c r="D18" s="31" t="str">
        <x:v>Single Starter pilot</x:v>
      </x:c>
      <x:c r="E18" s="31" t="str">
        <x:v>Nate</x:v>
      </x:c>
      <x:c r="F18" s="31" t="str">
        <x:v>Not Started</x:v>
      </x:c>
      <x:c r="G18" s="31" t="str">
        <x:v>High</x:v>
      </x:c>
      <x:c r="H18" s="31" t="str">
        <x:v>Single user can seed, govern, request proof, and seal</x:v>
      </x:c>
      <x:c r="I18" s="31" t="str">
        <x:v>Single demo</x:v>
      </x:c>
      <x:c r="J18" s="31" t="str">
        <x:v>Golden Path MVP</x:v>
      </x:c>
      <x:c r="K18" s="31" t="str">
        <x:v>$29/mo assumption.</x:v>
      </x:c>
    </x:row>
    <x:row r="19">
      <x:c r="A19" s="31" t="str">
        <x:v>6</x:v>
      </x:c>
      <x:c r="B19" s="31" t="str">
        <x:v>Week 11-12</x:v>
      </x:c>
      <x:c r="C19" s="31" t="str">
        <x:v>Adoption</x:v>
      </x:c>
      <x:c r="D19" s="31" t="str">
        <x:v>Duo Starter pilot</x:v>
      </x:c>
      <x:c r="E19" s="31" t="str">
        <x:v>Nate + Allie</x:v>
      </x:c>
      <x:c r="F19" s="31" t="str">
        <x:v>Not Started</x:v>
      </x:c>
      <x:c r="G19" s="31" t="str">
        <x:v>High</x:v>
      </x:c>
      <x:c r="H19" s="31" t="str">
        <x:v>Two users can share roles, tasks, evidence, docs, decisions</x:v>
      </x:c>
      <x:c r="I19" s="31" t="str">
        <x:v>Duo demo</x:v>
      </x:c>
      <x:c r="J19" s="31" t="str">
        <x:v>Single Starter</x:v>
      </x:c>
      <x:c r="K19" s="31" t="str">
        <x:v>$59/mo assumption.</x:v>
      </x:c>
    </x:row>
    <x:row r="20">
      <x:c r="A20" s="31" t="str">
        <x:v>7</x:v>
      </x:c>
      <x:c r="B20" s="31" t="str">
        <x:v>Week 12</x:v>
      </x:c>
      <x:c r="C20" s="31" t="str">
        <x:v>Lane Skin</x:v>
      </x:c>
      <x:c r="D20" s="31" t="str">
        <x:v>STAY thin demo skin: Guestbook + Turnover + Owner View</x:v>
      </x:c>
      <x:c r="E20" s="31" t="str">
        <x:v>Nate</x:v>
      </x:c>
      <x:c r="F20" s="31" t="str">
        <x:v>Not Started</x:v>
      </x:c>
      <x:c r="G20" s="31" t="str">
        <x:v>Medium</x:v>
      </x:c>
      <x:c r="H20" s="31" t="str">
        <x:v>Guestbook renders view-only; cleaner completes checklist with photos/status; owner sees arrivals/checkouts/issues from same recordstream</x:v>
      </x:c>
      <x:c r="I20" s="31" t="str">
        <x:v>STAY three-surface demo</x:v>
      </x:c>
      <x:c r="J20" s="31" t="str">
        <x:v>Duo Starter</x:v>
      </x:c>
      <x:c r="K20" s="31" t="str">
        <x:v>Do not build PMS, channel manager, pricing engine, or broad guest automation.</x:v>
      </x:c>
    </x:row>
    <x:row r="21">
      <x:c r="A21" s="31" t="str">
        <x:v>7</x:v>
      </x:c>
      <x:c r="B21" s="31" t="str">
        <x:v>Week 12-13</x:v>
      </x:c>
      <x:c r="C21" s="31" t="str">
        <x:v>Lane Skin</x:v>
      </x:c>
      <x:c r="D21" s="31" t="str">
        <x:v>MUNI PRR Light demo skin</x:v>
      </x:c>
      <x:c r="E21" s="31" t="str">
        <x:v>Nate</x:v>
      </x:c>
      <x:c r="F21" s="31" t="str">
        <x:v>Not Started</x:v>
      </x:c>
      <x:c r="G21" s="31" t="str">
        <x:v>Medium</x:v>
      </x:c>
      <x:c r="H21" s="31" t="str">
        <x:v>A PRR request tracks, responds, and closes</x:v>
      </x:c>
      <x:c r="I21" s="31" t="str">
        <x:v>MUNI demo</x:v>
      </x:c>
      <x:c r="J21" s="31" t="str">
        <x:v>Golden Path MVP</x:v>
      </x:c>
      <x:c r="K21" s="31" t="str">
        <x:v>No full case management.</x:v>
      </x:c>
    </x:row>
    <x:row r="22">
      <x:c r="A22" s="31" t="str">
        <x:v>8</x:v>
      </x:c>
      <x:c r="B22" s="31" t="str">
        <x:v>Week 13</x:v>
      </x:c>
      <x:c r="C22" s="31" t="str">
        <x:v>Sales</x:v>
      </x:c>
      <x:c r="D22" s="31" t="str">
        <x:v>Offer ladder and demo script</x:v>
      </x:c>
      <x:c r="E22" s="31" t="str">
        <x:v>Nate</x:v>
      </x:c>
      <x:c r="F22" s="31" t="str">
        <x:v>Not Started</x:v>
      </x:c>
      <x:c r="G22" s="31" t="str">
        <x:v>High</x:v>
      </x:c>
      <x:c r="H22" s="31" t="str">
        <x:v>Explain Single, Duo, Quick Review, Bridge, Live CaseSpace in five minutes</x:v>
      </x:c>
      <x:c r="I22" s="31" t="str">
        <x:v>Demo script</x:v>
      </x:c>
      <x:c r="J22" s="31" t="str">
        <x:v>Pilots</x:v>
      </x:c>
      <x:c r="K22" s="31" t="str">
        <x:v>Sell proof and closure.</x:v>
      </x:c>
    </x:row>
    <x:row r="23">
      <x:c r="A23" s="31" t="str">
        <x:v>9</x:v>
      </x:c>
      <x:c r="B23" s="31" t="str">
        <x:v>Post-pilot only</x:v>
      </x:c>
      <x:c r="C23" s="31" t="str">
        <x:v>Adoption Guard</x:v>
      </x:c>
      <x:c r="D23" s="31" t="str">
        <x:v>Team offer gating decision</x:v>
      </x:c>
      <x:c r="E23" s="31" t="str">
        <x:v>Nate</x:v>
      </x:c>
      <x:c r="F23" s="31" t="str">
        <x:v>Not Started</x:v>
      </x:c>
      <x:c r="G23" s="31" t="str">
        <x:v>Medium</x:v>
      </x:c>
      <x:c r="H23" s="31" t="str">
        <x:v>At least three paying Duo users request Team-specific capabilities</x:v>
      </x:c>
      <x:c r="I23" s="31" t="str">
        <x:v>Team build/no-build decision</x:v>
      </x:c>
      <x:c r="J23" s="31" t="str">
        <x:v>Duo pilots</x:v>
      </x:c>
      <x:c r="K23" s="31" t="str">
        <x:v>Do not build Team before 3x demand.</x:v>
      </x:c>
    </x:row>
  </x:sheetData>
  <x:mergeCells>
    <x:mergeCell ref="A1:K1"/>
    <x:mergeCell ref="A2:K2"/>
  </x:mergeCells>
  <x:dataValidations count="2">
    <x:dataValidation type="list" sqref="F5:F23">
      <x:formula1>"Not Started,In Progress,Blocked,Done,Parked"</x:formula1>
    </x:dataValidation>
    <x:dataValidation type="list" sqref="G5:G23">
      <x:formula1>"Critical,High,Medium,Low"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4" hidden="0" customWidth="1"/>
    <x:col min="4" max="4" width="18" hidden="0" customWidth="1"/>
    <x:col min="5" max="5" width="42" hidden="0" customWidth="1"/>
    <x:col min="6" max="6" width="16" hidden="0" customWidth="1"/>
  </x:cols>
  <x:sheetData>
    <x:row r="1" ht="28" customHeight="1">
      <x:c r="A1" s="5" t="str">
        <x:v>CaseSpace Object Map</x:v>
      </x:c>
    </x:row>
    <x:row r="2" ht="30" customHeight="1">
      <x:c r="A2" s="13" t="str">
        <x:v>Everything can live in a CaseSpace, but the client only sees what maps cleanly to the five-tab edge.</x:v>
      </x:c>
    </x:row>
    <x:row r="4" ht="26" customHeight="1">
      <x:c r="A4" s="30" t="str">
        <x:v>Object / Layer</x:v>
      </x:c>
      <x:c r="B4" s="30" t="str">
        <x:v>What It Holds</x:v>
      </x:c>
      <x:c r="C4" s="30" t="str">
        <x:v>Client Tab Mapping</x:v>
      </x:c>
      <x:c r="D4" s="30" t="str">
        <x:v>Editable By Client?</x:v>
      </x:c>
      <x:c r="E4" s="30" t="str">
        <x:v>Why It Matters</x:v>
      </x:c>
      <x:c r="F4" s="30" t="str">
        <x:v>Build Timing</x:v>
      </x:c>
    </x:row>
    <x:row r="5">
      <x:c r="A5" s="31" t="str">
        <x:v>Identity / Brand Kit</x:v>
      </x:c>
      <x:c r="B5" s="31" t="str">
        <x:v>Logo, name, address, listing/domain clues, identity card</x:v>
      </x:c>
      <x:c r="C5" s="31" t="str">
        <x:v>Overview</x:v>
      </x:c>
      <x:c r="D5" s="31" t="str">
        <x:v>Limited</x:v>
      </x:c>
      <x:c r="E5" s="31" t="str">
        <x:v>Makes Single/Duo immediately useful</x:v>
      </x:c>
      <x:c r="F5" s="31" t="str">
        <x:v>Build now</x:v>
      </x:c>
    </x:row>
    <x:row r="6">
      <x:c r="A6" s="31" t="str">
        <x:v>Source Profile / Pull Map</x:v>
      </x:c>
      <x:c r="B6" s="31" t="str">
        <x:v>Seed links, folders, emails, listings, repos, source extraction notes</x:v>
      </x:c>
      <x:c r="C6" s="31" t="str">
        <x:v>Intake</x:v>
      </x:c>
      <x:c r="D6" s="31" t="str">
        <x:v>Limited</x:v>
      </x:c>
      <x:c r="E6" s="31" t="str">
        <x:v>Turns existing mess into structured start</x:v>
      </x:c>
      <x:c r="F6" s="31" t="str">
        <x:v>Build now</x:v>
      </x:c>
    </x:row>
    <x:row r="7">
      <x:c r="A7" s="31" t="str">
        <x:v>FORM Intake</x:v>
      </x:c>
      <x:c r="B7" s="31" t="str">
        <x:v>Submitted facts, roles, desired outcomes, deadlines</x:v>
      </x:c>
      <x:c r="C7" s="31" t="str">
        <x:v>Intake</x:v>
      </x:c>
      <x:c r="D7" s="31" t="str">
        <x:v>Yes</x:v>
      </x:c>
      <x:c r="E7" s="31" t="str">
        <x:v>Opens CaseSpace with enough context</x:v>
      </x:c>
      <x:c r="F7" s="31" t="str">
        <x:v>Build now</x:v>
      </x:c>
    </x:row>
    <x:row r="8">
      <x:c r="A8" s="31" t="str">
        <x:v>Documents</x:v>
      </x:c>
      <x:c r="B8" s="31" t="str">
        <x:v>Files, links, source docs, versions, purpose/status</x:v>
      </x:c>
      <x:c r="C8" s="31" t="str">
        <x:v>Documents</x:v>
      </x:c>
      <x:c r="D8" s="31" t="str">
        <x:v>Upload/comment</x:v>
      </x:c>
      <x:c r="E8" s="31" t="str">
        <x:v>Houses the document set</x:v>
      </x:c>
      <x:c r="F8" s="31" t="str">
        <x:v>Build now</x:v>
      </x:c>
    </x:row>
    <x:row r="9">
      <x:c r="A9" s="31" t="str">
        <x:v>Evidence</x:v>
      </x:c>
      <x:c r="B9" s="31" t="str">
        <x:v>Requests, responses, proof files, status, owner</x:v>
      </x:c>
      <x:c r="C9" s="31" t="str">
        <x:v>Documents / Next Steps</x:v>
      </x:c>
      <x:c r="D9" s="31" t="str">
        <x:v>Respond/upload</x:v>
      </x:c>
      <x:c r="E9" s="31" t="str">
        <x:v>Proof is the product</x:v>
      </x:c>
      <x:c r="F9" s="31" t="str">
        <x:v>Build now</x:v>
      </x:c>
    </x:row>
    <x:row r="10">
      <x:c r="A10" s="31" t="str">
        <x:v>PRR / Recordstream</x:v>
      </x:c>
      <x:c r="B10" s="31" t="str">
        <x:v>Append-only thread of meaningful actions and changes</x:v>
      </x:c>
      <x:c r="C10" s="31" t="str">
        <x:v>Overview summary</x:v>
      </x:c>
      <x:c r="D10" s="31" t="str">
        <x:v>No</x:v>
      </x:c>
      <x:c r="E10" s="31" t="str">
        <x:v>Never lose the thread</x:v>
      </x:c>
      <x:c r="F10" s="31" t="str">
        <x:v>Build now</x:v>
      </x:c>
    </x:row>
    <x:row r="11">
      <x:c r="A11" s="31" t="str">
        <x:v>Decisions</x:v>
      </x:c>
      <x:c r="B11" s="31" t="str">
        <x:v>Decision, owner, basis, authority, next action</x:v>
      </x:c>
      <x:c r="C11" s="31" t="str">
        <x:v>Decisions</x:v>
      </x:c>
      <x:c r="D11" s="31" t="str">
        <x:v>Limited</x:v>
      </x:c>
      <x:c r="E11" s="31" t="str">
        <x:v>Captures what was decided and why</x:v>
      </x:c>
      <x:c r="F11" s="31" t="str">
        <x:v>Build now</x:v>
      </x:c>
    </x:row>
    <x:row r="12">
      <x:c r="A12" s="31" t="str">
        <x:v>CAL Gates</x:v>
      </x:c>
      <x:c r="B12" s="31" t="str">
        <x:v>Authority/role/sequence check results</x:v>
      </x:c>
      <x:c r="C12" s="31" t="str">
        <x:v>Decisions / Next Steps</x:v>
      </x:c>
      <x:c r="D12" s="31" t="str">
        <x:v>No</x:v>
      </x:c>
      <x:c r="E12" s="31" t="str">
        <x:v>Prevents wrong next move</x:v>
      </x:c>
      <x:c r="F12" s="31" t="str">
        <x:v>Build now</x:v>
      </x:c>
    </x:row>
    <x:row r="13">
      <x:c r="A13" s="31" t="str">
        <x:v>PRM Checks</x:v>
      </x:c>
      <x:c r="B13" s="31" t="str">
        <x:v>Completeness, proof, risk, readiness checks</x:v>
      </x:c>
      <x:c r="C13" s="31" t="str">
        <x:v>Next Steps</x:v>
      </x:c>
      <x:c r="D13" s="31" t="str">
        <x:v>No</x:v>
      </x:c>
      <x:c r="E13" s="31" t="str">
        <x:v>Shows what is missing before closeout</x:v>
      </x:c>
      <x:c r="F13" s="31" t="str">
        <x:v>Build now</x:v>
      </x:c>
    </x:row>
    <x:row r="14">
      <x:c r="A14" s="31" t="str">
        <x:v>Tasks / Next Actions</x:v>
      </x:c>
      <x:c r="B14" s="31" t="str">
        <x:v>Owner, due date, status, dependency, note</x:v>
      </x:c>
      <x:c r="C14" s="31" t="str">
        <x:v>Next Steps</x:v>
      </x:c>
      <x:c r="D14" s="31" t="str">
        <x:v>Yes</x:v>
      </x:c>
      <x:c r="E14" s="31" t="str">
        <x:v>Turns governance into motion</x:v>
      </x:c>
      <x:c r="F14" s="31" t="str">
        <x:v>Build now</x:v>
      </x:c>
    </x:row>
    <x:row r="15">
      <x:c r="A15" s="31" t="str">
        <x:v>Dashboards</x:v>
      </x:c>
      <x:c r="B15" s="31" t="str">
        <x:v>Summary views, role views, owner/operator view</x:v>
      </x:c>
      <x:c r="C15" s="31" t="str">
        <x:v>Overview</x:v>
      </x:c>
      <x:c r="D15" s="31" t="str">
        <x:v>No/limited</x:v>
      </x:c>
      <x:c r="E15" s="31" t="str">
        <x:v>Keeps edge simple</x:v>
      </x:c>
      <x:c r="F15" s="31" t="str">
        <x:v>Build now</x:v>
      </x:c>
    </x:row>
    <x:row r="16">
      <x:c r="A16" s="31" t="str">
        <x:v>Packet Builder</x:v>
      </x:c>
      <x:c r="B16" s="31" t="str">
        <x:v>Compiled proof, decisions, record, status, handoff</x:v>
      </x:c>
      <x:c r="C16" s="31" t="str">
        <x:v>Documents / Overview</x:v>
      </x:c>
      <x:c r="D16" s="31" t="str">
        <x:v>Review</x:v>
      </x:c>
      <x:c r="E16" s="31" t="str">
        <x:v>Creates closure artifact</x:v>
      </x:c>
      <x:c r="F16" s="31" t="str">
        <x:v>Build now</x:v>
      </x:c>
    </x:row>
    <x:row r="17">
      <x:c r="A17" s="31" t="str">
        <x:v>ARCHIEVE Seal</x:v>
      </x:c>
      <x:c r="B17" s="31" t="str">
        <x:v>Close date, contents, authority, packet, next-state note</x:v>
      </x:c>
      <x:c r="C17" s="31" t="str">
        <x:v>Overview / Documents</x:v>
      </x:c>
      <x:c r="D17" s="31" t="str">
        <x:v>No</x:v>
      </x:c>
      <x:c r="E17" s="31" t="str">
        <x:v>Seals the record</x:v>
      </x:c>
      <x:c r="F17" s="31" t="str">
        <x:v>Build now</x:v>
      </x:c>
    </x:row>
    <x:row r="18">
      <x:c r="A18" s="31" t="str">
        <x:v>Connected Tool Events</x:v>
      </x:c>
      <x:c r="B18" s="31" t="str">
        <x:v>Gmail, Drive, Calendar, Airbnb, GitHub, Stripe, CivicPlus events</x:v>
      </x:c>
      <x:c r="C18" s="31" t="str">
        <x:v>Varies</x:v>
      </x:c>
      <x:c r="D18" s="31" t="str">
        <x:v>No</x:v>
      </x:c>
      <x:c r="E18" s="31" t="str">
        <x:v>Tools are sources/outputs; PJ governs record</x:v>
      </x:c>
      <x:c r="F18" s="31" t="str">
        <x:v>Early</x:v>
      </x:c>
    </x:row>
    <x:row r="19">
      <x:c r="A19" s="31" t="str">
        <x:v>Custom Tool Outputs</x:v>
      </x:c>
      <x:c r="B19" s="31" t="str">
        <x:v>Generated path sheets, indexes, summaries, checklists</x:v>
      </x:c>
      <x:c r="C19" s="31" t="str">
        <x:v>Varies</x:v>
      </x:c>
      <x:c r="D19" s="31" t="str">
        <x:v>Review</x:v>
      </x:c>
      <x:c r="E19" s="31" t="str">
        <x:v>Custom tooling strengthens record</x:v>
      </x:c>
      <x:c r="F19" s="31" t="str">
        <x:v>Early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6" hidden="0" customWidth="1"/>
    <x:col min="3" max="3" width="34" hidden="0" customWidth="1"/>
    <x:col min="4" max="4" width="30" hidden="0" customWidth="1"/>
    <x:col min="5" max="5" width="42" hidden="0" customWidth="1"/>
    <x:col min="6" max="6" width="14" hidden="0" customWidth="1"/>
  </x:cols>
  <x:sheetData>
    <x:row r="1" ht="28" customHeight="1">
      <x:c r="A1" s="5" t="str">
        <x:v>Tool Connections and Custom Tooling</x:v>
      </x:c>
    </x:row>
    <x:row r="2" ht="30" customHeight="1">
      <x:c r="A2" s="13" t="str">
        <x:v>PJ does not replace tools. It reads/writes through governed connectors and records why it matters.</x:v>
      </x:c>
    </x:row>
    <x:row r="4" ht="26" customHeight="1">
      <x:c r="A4" s="30" t="str">
        <x:v>Tool / Source</x:v>
      </x:c>
      <x:c r="B4" s="30" t="str">
        <x:v>PJ Reads</x:v>
      </x:c>
      <x:c r="C4" s="30" t="str">
        <x:v>PJ Writes / Outputs</x:v>
      </x:c>
      <x:c r="D4" s="30" t="str">
        <x:v>CaseSpace Object Updated</x:v>
      </x:c>
      <x:c r="E4" s="30" t="str">
        <x:v>Permission Rule</x:v>
      </x:c>
      <x:c r="F4" s="30" t="str">
        <x:v>Priority</x:v>
      </x:c>
    </x:row>
    <x:row r="5">
      <x:c r="A5" s="31" t="str">
        <x:v>Gmail</x:v>
      </x:c>
      <x:c r="B5" s="31" t="str">
        <x:v>Threads, senders, attachments, snippets, evidence requests</x:v>
      </x:c>
      <x:c r="C5" s="31" t="str">
        <x:v>Drafts, replies, reminders only when authorized</x:v>
      </x:c>
      <x:c r="D5" s="31" t="str">
        <x:v>Source Profile; Evidence; PRR; Digest</x:v>
      </x:c>
      <x:c r="E5" s="31" t="str">
        <x:v>Never silently change matter status</x:v>
      </x:c>
      <x:c r="F5" s="31" t="str">
        <x:v>Early</x:v>
      </x:c>
    </x:row>
    <x:row r="6">
      <x:c r="A6" s="31" t="str">
        <x:v>Google Drive</x:v>
      </x:c>
      <x:c r="B6" s="31" t="str">
        <x:v>Folders, files, titles, metadata, source docs</x:v>
      </x:c>
      <x:c r="C6" s="31" t="str">
        <x:v>Housed document set, packet exports, indexes</x:v>
      </x:c>
      <x:c r="D6" s="31" t="str">
        <x:v>Documents; Evidence; Packet</x:v>
      </x:c>
      <x:c r="E6" s="31" t="str">
        <x:v>Drive stores files; PJ explains status/gaps</x:v>
      </x:c>
      <x:c r="F6" s="31" t="str">
        <x:v>Build now</x:v>
      </x:c>
    </x:row>
    <x:row r="7">
      <x:c r="A7" s="31" t="str">
        <x:v>Google Calendar</x:v>
      </x:c>
      <x:c r="B7" s="31" t="str">
        <x:v>Events, deadlines, check-ins, due dates</x:v>
      </x:c>
      <x:c r="C7" s="31" t="str">
        <x:v>Calendar holds/reminders when approved</x:v>
      </x:c>
      <x:c r="D7" s="31" t="str">
        <x:v>Tasks; Digest; PRR</x:v>
      </x:c>
      <x:c r="E7" s="31" t="str">
        <x:v>Do not book/modify without user intent</x:v>
      </x:c>
      <x:c r="F7" s="31" t="str">
        <x:v>Early</x:v>
      </x:c>
    </x:row>
    <x:row r="8">
      <x:c r="A8" s="31" t="str">
        <x:v>Airbnb / iCal / Listing</x:v>
      </x:c>
      <x:c r="B8" s="31" t="str">
        <x:v>Reservations, listing facts, rules, amenities, dates</x:v>
      </x:c>
      <x:c r="C8" s="31" t="str">
        <x:v>Guestbook, turnover tasks, owner digest</x:v>
      </x:c>
      <x:c r="D8" s="31" t="str">
        <x:v>STAY CaseSpace; Documents; Tasks</x:v>
      </x:c>
      <x:c r="E8" s="31" t="str">
        <x:v>Guest view-only; owner governs</x:v>
      </x:c>
      <x:c r="F8" s="31" t="str">
        <x:v>Early</x:v>
      </x:c>
    </x:row>
    <x:row r="9">
      <x:c r="A9" s="31" t="str">
        <x:v>GitHub</x:v>
      </x:c>
      <x:c r="B9" s="31" t="str">
        <x:v>Repos, branches, issues, commits, docs</x:v>
      </x:c>
      <x:c r="C9" s="31" t="str">
        <x:v>Issue/task refs, build records, release notes</x:v>
      </x:c>
      <x:c r="D9" s="31" t="str">
        <x:v>BIZ/CORE CaseSpace; PRR</x:v>
      </x:c>
      <x:c r="E9" s="31" t="str">
        <x:v>Do not ship code silently</x:v>
      </x:c>
      <x:c r="F9" s="31" t="str">
        <x:v>Later</x:v>
      </x:c>
    </x:row>
    <x:row r="10">
      <x:c r="A10" s="31" t="str">
        <x:v>Stripe / Finance</x:v>
      </x:c>
      <x:c r="B10" s="31" t="str">
        <x:v>Invoices, payment status, customer facts</x:v>
      </x:c>
      <x:c r="C10" s="31" t="str">
        <x:v>Invoice support record, payment status note</x:v>
      </x:c>
      <x:c r="D10" s="31" t="str">
        <x:v>BIZ; Documents; PRR</x:v>
      </x:c>
      <x:c r="E10" s="31" t="str">
        <x:v>No financial advice; no silent charges</x:v>
      </x:c>
      <x:c r="F10" s="31" t="str">
        <x:v>Later</x:v>
      </x:c>
    </x:row>
    <x:row r="11">
      <x:c r="A11" s="31" t="str">
        <x:v>CivicPlus / Polimorphic</x:v>
      </x:c>
      <x:c r="B11" s="31" t="str">
        <x:v>Forms, submissions, web pages, request records</x:v>
      </x:c>
      <x:c r="C11" s="31" t="str">
        <x:v>Status summaries, PRR/permit record notes</x:v>
      </x:c>
      <x:c r="D11" s="31" t="str">
        <x:v>MUNI CaseSpace</x:v>
      </x:c>
      <x:c r="E11" s="31" t="str">
        <x:v>Public records/lawful process guardrails</x:v>
      </x:c>
      <x:c r="F11" s="31" t="str">
        <x:v>Later</x:v>
      </x:c>
    </x:row>
    <x:row r="12">
      <x:c r="A12" s="31" t="str">
        <x:v>Smart Home / STAY Controls</x:v>
      </x:c>
      <x:c r="B12" s="31" t="str">
        <x:v>Device status, links, operating notes</x:v>
      </x:c>
      <x:c r="C12" s="31" t="str">
        <x:v>Guest instructions, maintenance flags</x:v>
      </x:c>
      <x:c r="D12" s="31" t="str">
        <x:v>STAY Guestbook; Tasks</x:v>
      </x:c>
      <x:c r="E12" s="31" t="str">
        <x:v>Never expose owner controls improperly</x:v>
      </x:c>
      <x:c r="F12" s="31" t="str">
        <x:v>Later</x:v>
      </x:c>
    </x:row>
    <x:row r="13">
      <x:c r="A13" s="31" t="str">
        <x:v>Custom: Source Pull Mapper</x:v>
      </x:c>
      <x:c r="B13" s="31" t="str">
        <x:v>Seed info from files/links/folders</x:v>
      </x:c>
      <x:c r="C13" s="31" t="str">
        <x:v>Source Profile, Asset Set, Document Set</x:v>
      </x:c>
      <x:c r="D13" s="31" t="str">
        <x:v>Identity; Source Profile</x:v>
      </x:c>
      <x:c r="E13" s="31" t="str">
        <x:v>User confirms extracted facts</x:v>
      </x:c>
      <x:c r="F13" s="31" t="str">
        <x:v>Build now</x:v>
      </x:c>
    </x:row>
    <x:row r="14">
      <x:c r="A14" s="31" t="str">
        <x:v>Custom: Dashboard Composer</x:v>
      </x:c>
      <x:c r="B14" s="31" t="str">
        <x:v>Internal CaseSpace objects</x:v>
      </x:c>
      <x:c r="C14" s="31" t="str">
        <x:v>Five-tab client edge</x:v>
      </x:c>
      <x:c r="D14" s="31" t="str">
        <x:v>Overview; Intake; Documents; Decisions; Next Steps</x:v>
      </x:c>
      <x:c r="E14" s="31" t="str">
        <x:v>Hide machine room by default</x:v>
      </x:c>
      <x:c r="F14" s="31" t="str">
        <x:v>Build now</x:v>
      </x:c>
    </x:row>
    <x:row r="15">
      <x:c r="A15" s="31" t="str">
        <x:v>Custom: Packet Builder</x:v>
      </x:c>
      <x:c r="B15" s="31" t="str">
        <x:v>PRR, evidence, decisions, checks, documents</x:v>
      </x:c>
      <x:c r="C15" s="31" t="str">
        <x:v>Handoff packet draft</x:v>
      </x:c>
      <x:c r="D15" s="31" t="str">
        <x:v>Packet; ARCHIEVE</x:v>
      </x:c>
      <x:c r="E15" s="31" t="str">
        <x:v>Review before seal</x:v>
      </x:c>
      <x:c r="F15" s="31" t="str">
        <x:v>Build now</x:v>
      </x:c>
    </x:row>
    <x:row r="16">
      <x:c r="A16" s="31" t="str">
        <x:v>Custom: 3x Rule Tracker</x:v>
      </x:c>
      <x:c r="B16" s="31" t="str">
        <x:v>Feature requests, sources, recurrence</x:v>
      </x:c>
      <x:c r="C16" s="31" t="str">
        <x:v>Promote/park/build decision</x:v>
      </x:c>
      <x:c r="D16" s="31" t="str">
        <x:v>Backlog; Governance</x:v>
      </x:c>
      <x:c r="E16" s="31" t="str">
        <x:v>No bespoke bypass</x:v>
      </x:c>
      <x:c r="F16" s="31" t="str">
        <x:v>Build now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6" hidden="0" customWidth="1"/>
    <x:col min="4" max="4" width="34" hidden="0" customWidth="1"/>
    <x:col min="5" max="5" width="34" hidden="0" customWidth="1"/>
    <x:col min="6" max="6" width="36" hidden="0" customWidth="1"/>
    <x:col min="7" max="7" width="16" hidden="0" customWidth="1"/>
  </x:cols>
  <x:sheetData>
    <x:row r="1" ht="28" customHeight="1">
      <x:c r="A1" s="74" t="str">
        <x:v>Pricing and Adoption Ladder</x:v>
      </x:c>
    </x:row>
    <x:row r="2" ht="30" customHeight="1">
      <x:c r="A2" s="75" t="str">
        <x:v>Launch pricing locks for pilots. Single/Duo have real anchors; Team remains gated by 3x demand.</x:v>
      </x:c>
    </x:row>
    <x:row r="4" ht="26" customHeight="1">
      <x:c r="A4" s="30" t="str">
        <x:v>Offer</x:v>
      </x:c>
      <x:c r="B4" s="30" t="str">
        <x:v>Audience</x:v>
      </x:c>
      <x:c r="C4" s="30" t="str">
        <x:v>Planning Price</x:v>
      </x:c>
      <x:c r="D4" s="30" t="str">
        <x:v>Surface</x:v>
      </x:c>
      <x:c r="E4" s="30" t="str">
        <x:v>Includes</x:v>
      </x:c>
      <x:c r="F4" s="30" t="str">
        <x:v>Conversion Goal</x:v>
      </x:c>
      <x:c r="G4" s="30" t="str">
        <x:v>Guardrail</x:v>
      </x:c>
    </x:row>
    <x:row r="5">
      <x:c r="A5" s="31" t="str">
        <x:v>Single Starter</x:v>
      </x:c>
      <x:c r="B5" s="31" t="str">
        <x:v>Solo operator, owner, consultant</x:v>
      </x:c>
      <x:c r="C5" s="31" t="str">
        <x:v>$29/mo launch assumption</x:v>
      </x:c>
      <x:c r="D5" s="31" t="str">
        <x:v>Self-serve starter CaseSpace</x:v>
      </x:c>
      <x:c r="E5" s="31" t="str">
        <x:v>Seed profile, housed asset set, housed document set, forms with teeth, 1 active workspace</x:v>
      </x:c>
      <x:c r="F5" s="31" t="str">
        <x:v>Duo/Team or Quick Review</x:v>
      </x:c>
      <x:c r="G5" s="31" t="str">
        <x:v>Can comp/discount pilots, but keep the anchor. No custom logic by default.</x:v>
      </x:c>
    </x:row>
    <x:row r="6">
      <x:c r="A6" s="31" t="str">
        <x:v>Duo Starter</x:v>
      </x:c>
      <x:c r="B6" s="31" t="str">
        <x:v>Two-person operator pair</x:v>
      </x:c>
      <x:c r="C6" s="31" t="str">
        <x:v>$59/mo launch assumption</x:v>
      </x:c>
      <x:c r="D6" s="31" t="str">
        <x:v>Shared workspace</x:v>
      </x:c>
      <x:c r="E6" s="31" t="str">
        <x:v>Two users, role surface, shared evidence/documents/tasks, weekly digest</x:v>
      </x:c>
      <x:c r="F6" s="31" t="str">
        <x:v>Team/Live CaseSpace</x:v>
      </x:c>
      <x:c r="G6" s="31" t="str">
        <x:v>Shared governance, not enterprise permissions.</x:v>
      </x:c>
    </x:row>
    <x:row r="7">
      <x:c r="A7" s="31" t="str">
        <x:v>Team</x:v>
      </x:c>
      <x:c r="B7" s="31" t="str">
        <x:v>Small operating group</x:v>
      </x:c>
      <x:c r="C7" s="31" t="str">
        <x:v>$39/seat/mo planning assumption</x:v>
      </x:c>
      <x:c r="D7" s="31" t="str">
        <x:v>Team CaseSpace set</x:v>
      </x:c>
      <x:c r="E7" s="31" t="str">
        <x:v>Multiple users, shared CaseSpaces, digest, basic role mapping</x:v>
      </x:c>
      <x:c r="F7" s="31" t="str">
        <x:v>Bridge/Live CaseSpace</x:v>
      </x:c>
      <x:c r="G7" s="31" t="str">
        <x:v>Do not build until at least three paying Duo users ask for Team-specific capabilities.</x:v>
      </x:c>
    </x:row>
    <x:row r="8">
      <x:c r="A8" s="31" t="str">
        <x:v>Free Path Sheet</x:v>
      </x:c>
      <x:c r="B8" s="31" t="str">
        <x:v>Any lead</x:v>
      </x:c>
      <x:c r="C8" s="31" t="str">
        <x:v>$0</x:v>
      </x:c>
      <x:c r="D8" s="31" t="str">
        <x:v>No-login form/output</x:v>
      </x:c>
      <x:c r="E8" s="31" t="str">
        <x:v>One-page path from messy problem to next move</x:v>
      </x:c>
      <x:c r="F8" s="31" t="str">
        <x:v>Quick Review</x:v>
      </x:c>
      <x:c r="G8" s="31" t="str">
        <x:v>Must not become free consulting</x:v>
      </x:c>
    </x:row>
    <x:row r="9">
      <x:c r="A9" s="31" t="str">
        <x:v>Quick Review</x:v>
      </x:c>
      <x:c r="B9" s="31" t="str">
        <x:v>MUNI/PROJECT/BIZ/STAY serious lead</x:v>
      </x:c>
      <x:c r="C9" s="31" t="str">
        <x:v>Fixed fee TBD</x:v>
      </x:c>
      <x:c r="D9" s="31" t="str">
        <x:v>Paid diagnostic</x:v>
      </x:c>
      <x:c r="E9" s="31" t="str">
        <x:v>Findings, gaps, path sheet, recommended CaseSpace</x:v>
      </x:c>
      <x:c r="F9" s="31" t="str">
        <x:v>Bridge or Live CaseSpace</x:v>
      </x:c>
      <x:c r="G9" s="31" t="str">
        <x:v>Short, bounded, proof-oriented</x:v>
      </x:c>
    </x:row>
    <x:row r="10">
      <x:c r="A10" s="31" t="str">
        <x:v>Bridge Package</x:v>
      </x:c>
      <x:c r="B10" s="31" t="str">
        <x:v>MUNI/PROJECT/BIZ</x:v>
      </x:c>
      <x:c r="C10" s="31" t="str">
        <x:v>Mid-tier TBD</x:v>
      </x:c>
      <x:c r="D10" s="31" t="str">
        <x:v>Structured service</x:v>
      </x:c>
      <x:c r="E10" s="31" t="str">
        <x:v>Evidence map, owner map, path sheet, starting record</x:v>
      </x:c>
      <x:c r="F10" s="31" t="str">
        <x:v>Live CaseSpace</x:v>
      </x:c>
      <x:c r="G10" s="31" t="str">
        <x:v>No endless implementation</x:v>
      </x:c>
    </x:row>
    <x:row r="11">
      <x:c r="A11" s="31" t="str">
        <x:v>Live CaseSpace</x:v>
      </x:c>
      <x:c r="B11" s="31" t="str">
        <x:v>All lanes</x:v>
      </x:c>
      <x:c r="C11" s="31" t="str">
        <x:v>Recurring TBD</x:v>
      </x:c>
      <x:c r="D11" s="31" t="str">
        <x:v>Workspace product</x:v>
      </x:c>
      <x:c r="E11" s="31" t="str">
        <x:v>Five-tab edge + internal runtime + sealed handoffs</x:v>
      </x:c>
      <x:c r="F11" s="31" t="str">
        <x:v>Retention/expansion</x:v>
      </x:c>
      <x:c r="G11" s="31" t="str">
        <x:v>Do not expose bloat</x:v>
      </x:c>
    </x:row>
    <x:row r="13" ht="24" customHeight="1">
      <x:c r="A13" s="70" t="str">
        <x:v>Pricing Lock</x:v>
      </x:c>
      <x:c r="B13" s="70" t="str">
        <x:v>Final Answer</x:v>
      </x:c>
      <x:c r="C13" s="70" t="str">
        <x:v>Reason</x:v>
      </x:c>
      <x:c r="D13" s="70" t="str">
        <x:v>Pilot Rule</x:v>
      </x:c>
      <x:c r="E13" s="70" t="str">
        <x:v>Do Not Include</x:v>
      </x:c>
      <x:c r="F13" s="70" t="str">
        <x:v>Trigger to Expand</x:v>
      </x:c>
      <x:c r="G13" s="70" t="str">
        <x:v>Owner</x:v>
      </x:c>
    </x:row>
    <x:row r="14">
      <x:c r="A14" s="31" t="str">
        <x:v>Single</x:v>
      </x:c>
      <x:c r="B14" s="31" t="str">
        <x:v>$29/mo</x:v>
      </x:c>
      <x:c r="C14" s="31" t="str">
        <x:v>Low-friction solo starter with real value anchor.</x:v>
      </x:c>
      <x:c r="D14" s="31" t="str">
        <x:v>May be free/discounted for first pilots.</x:v>
      </x:c>
      <x:c r="E14" s="31" t="str">
        <x:v>Custom automations; multi-user permissions.</x:v>
      </x:c>
      <x:c r="F14" s="31" t="str">
        <x:v>User needs shared roles or recurring operations.</x:v>
      </x:c>
      <x:c r="G14" s="31" t="str">
        <x:v>Nate</x:v>
      </x:c>
    </x:row>
    <x:row r="15">
      <x:c r="A15" s="31" t="str">
        <x:v>Duo</x:v>
      </x:c>
      <x:c r="B15" s="31" t="str">
        <x:v>$59/mo</x:v>
      </x:c>
      <x:c r="C15" s="31" t="str">
        <x:v>First shared operating surface and best test of governance.</x:v>
      </x:c>
      <x:c r="D15" s="31" t="str">
        <x:v>Use for Nate + Allie / small operator pairs.</x:v>
      </x:c>
      <x:c r="E15" s="31" t="str">
        <x:v>Enterprise RBAC; admin console.</x:v>
      </x:c>
      <x:c r="F15" s="31" t="str">
        <x:v>3+ Duo users ask for Team features.</x:v>
      </x:c>
      <x:c r="G15" s="31" t="str">
        <x:v>Nate + Allie</x:v>
      </x:c>
    </x:row>
    <x:row r="16">
      <x:c r="A16" s="31" t="str">
        <x:v>Team</x:v>
      </x:c>
      <x:c r="B16" s="31" t="str">
        <x:v>$39/seat/mo planning only</x:v>
      </x:c>
      <x:c r="C16" s="31" t="str">
        <x:v>Visible ladder, but not a build priority.</x:v>
      </x:c>
      <x:c r="D16" s="31" t="str">
        <x:v>No Team-specific build during Golden Path.</x:v>
      </x:c>
      <x:c r="E16" s="31" t="str">
        <x:v>Org-wide controls, nested roles, bulk provisioning.</x:v>
      </x:c>
      <x:c r="F16" s="31" t="str">
        <x:v>3 paying Duo requests with same pattern.</x:v>
      </x:c>
      <x:c r="G16" s="31" t="str">
        <x:v>Nate</x:v>
      </x:c>
    </x:row>
    <x:row r="17">
      <x:c r="A17" s="31" t="str">
        <x:v>Quick Review</x:v>
      </x:c>
      <x:c r="B17" s="31" t="str">
        <x:v>Fixed fee TBD</x:v>
      </x:c>
      <x:c r="C17" s="31" t="str">
        <x:v>Bounded proof-oriented diagnostic.</x:v>
      </x:c>
      <x:c r="D17" s="31" t="str">
        <x:v>Use when a lead has serious MUNI/PROJECT/BIZ/STAY need.</x:v>
      </x:c>
      <x:c r="E17" s="31" t="str">
        <x:v>Free consulting; open-ended implementation.</x:v>
      </x:c>
      <x:c r="F17" s="31" t="str">
        <x:v>Converts to Bridge or Live CaseSpace.</x:v>
      </x:c>
      <x:c r="G17" s="31" t="str">
        <x:v>Nate</x:v>
      </x:c>
    </x:row>
  </x:sheetData>
  <x:mergeCells>
    <x:mergeCell ref="A1:J1"/>
    <x:mergeCell ref="A2:J2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6" hidden="0" customWidth="1"/>
    <x:col min="4" max="4" width="34" hidden="0" customWidth="1"/>
    <x:col min="5" max="5" width="38" hidden="0" customWidth="1"/>
    <x:col min="6" max="6" width="16" hidden="0" customWidth="1"/>
    <x:col min="7" max="7" width="14" hidden="0" customWidth="1"/>
    <x:col min="8" max="8" width="16" hidden="0" customWidth="1"/>
    <x:col min="9" max="9" width="20" hidden="0" customWidth="1"/>
  </x:cols>
  <x:sheetData>
    <x:row r="1" ht="28" customHeight="1">
      <x:c r="A1" s="194" t="str">
        <x:v>Risk Watchlist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</x:row>
    <x:row r="2" ht="30" customHeight="1">
      <x:c r="A2" s="13" t="str">
        <x:v>These are operating constraints, not reasons to stop.</x:v>
      </x:c>
    </x:row>
    <x:row r="4" ht="26" customHeight="1">
      <x:c r="A4" s="30" t="str">
        <x:v>Risk ID</x:v>
      </x:c>
      <x:c r="B4" s="30" t="str">
        <x:v>Risk</x:v>
      </x:c>
      <x:c r="C4" s="30" t="str">
        <x:v>Why It Matters</x:v>
      </x:c>
      <x:c r="D4" s="30" t="str">
        <x:v>Early Warning Sign</x:v>
      </x:c>
      <x:c r="E4" s="30" t="str">
        <x:v>Mitigation</x:v>
      </x:c>
      <x:c r="F4" s="30" t="str">
        <x:v>Owner</x:v>
      </x:c>
      <x:c r="G4" s="30" t="str">
        <x:v>Status</x:v>
      </x:c>
      <x:c r="H4" s="30" t="str">
        <x:v>Review Cadence</x:v>
      </x:c>
      <x:c r="I4" s="30" t="str">
        <x:v>Related Sheet</x:v>
      </x:c>
    </x:row>
    <x:row r="5">
      <x:c r="A5" s="31" t="str">
        <x:v>R-001</x:v>
      </x:c>
      <x:c r="B5" s="31" t="str">
        <x:v>Governance language does not sell</x:v>
      </x:c>
      <x:c r="C5" s="31" t="str">
        <x:v>Clients buy clarity, proof, closure, and confidence</x:v>
      </x:c>
      <x:c r="D5" s="31" t="str">
        <x:v>Prospects ask what governance means</x:v>
      </x:c>
      <x:c r="E5" s="31" t="str">
        <x:v>Use demo script and client translation language</x:v>
      </x:c>
      <x:c r="F5" s="31" t="str">
        <x:v>Nate</x:v>
      </x:c>
      <x:c r="G5" s="31" t="str">
        <x:v>Active</x:v>
      </x:c>
      <x:c r="H5" s="31" t="str">
        <x:v>Weekly</x:v>
      </x:c>
      <x:c r="I5" s="31" t="str">
        <x:v>00 / 09</x:v>
      </x:c>
    </x:row>
    <x:row r="6">
      <x:c r="A6" s="31" t="str">
        <x:v>R-002</x:v>
      </x:c>
      <x:c r="B6" s="31" t="str">
        <x:v>PROJECT becomes catch-all</x:v>
      </x:c>
      <x:c r="C6" s="31" t="str">
        <x:v>Broad lane can become bespoke consulting sink</x:v>
      </x:c>
      <x:c r="D6" s="31" t="str">
        <x:v>Every complex ask becomes PROJECT</x:v>
      </x:c>
      <x:c r="E6" s="31" t="str">
        <x:v>Use PROJECT entry points and scope guards</x:v>
      </x:c>
      <x:c r="F6" s="31" t="str">
        <x:v>Nate</x:v>
      </x:c>
      <x:c r="G6" s="31" t="str">
        <x:v>Active</x:v>
      </x:c>
      <x:c r="H6" s="31" t="str">
        <x:v>Weekly</x:v>
      </x:c>
      <x:c r="I6" s="31" t="str">
        <x:v>01 / 08</x:v>
      </x:c>
    </x:row>
    <x:row r="7">
      <x:c r="A7" s="31" t="str">
        <x:v>R-003</x:v>
      </x:c>
      <x:c r="B7" s="31" t="str">
        <x:v>STAY pulls into PMS bloat</x:v>
      </x:c>
      <x:c r="C7" s="31" t="str">
        <x:v>Guest-facing features can overrun runtime</x:v>
      </x:c>
      <x:c r="D7" s="31" t="str">
        <x:v>Requests become booking/payment/channel manager work</x:v>
      </x:c>
      <x:c r="E7" s="31" t="str">
        <x:v>Keep STAY thin until 3x proof</x:v>
      </x:c>
      <x:c r="F7" s="31" t="str">
        <x:v>Nate + Allie</x:v>
      </x:c>
      <x:c r="G7" s="31" t="str">
        <x:v>Active</x:v>
      </x:c>
      <x:c r="H7" s="31" t="str">
        <x:v>Weekly</x:v>
      </x:c>
      <x:c r="I7" s="31" t="str">
        <x:v>01 / 08</x:v>
      </x:c>
    </x:row>
    <x:row r="8">
      <x:c r="A8" s="31" t="str">
        <x:v>R-004</x:v>
      </x:c>
      <x:c r="B8" s="31" t="str">
        <x:v>Automation pollutes recordstream</x:v>
      </x:c>
      <x:c r="C8" s="31" t="str">
        <x:v>Silent actions reduce trust</x:v>
      </x:c>
      <x:c r="D8" s="31" t="str">
        <x:v>Items appear without source/basis</x:v>
      </x:c>
      <x:c r="E8" s="31" t="str">
        <x:v>Governed automation only</x:v>
      </x:c>
      <x:c r="F8" s="31" t="str">
        <x:v>Builder</x:v>
      </x:c>
      <x:c r="G8" s="31" t="str">
        <x:v>Active</x:v>
      </x:c>
      <x:c r="H8" s="31" t="str">
        <x:v>Weekly</x:v>
      </x:c>
      <x:c r="I8" s="31" t="str">
        <x:v>05 / 08</x:v>
      </x:c>
    </x:row>
    <x:row r="9">
      <x:c r="A9" s="31" t="str">
        <x:v>R-005</x:v>
      </x:c>
      <x:c r="B9" s="31" t="str">
        <x:v>Five-tab edge cannot render depth</x:v>
      </x:c>
      <x:c r="C9" s="31" t="str">
        <x:v>Backend becomes unusable if view layer is late</x:v>
      </x:c>
      <x:c r="D9" s="31" t="str">
        <x:v>Client view feels like database dump</x:v>
      </x:c>
      <x:c r="E9" s="31" t="str">
        <x:v>Build Dashboard Composer with CaseSpace Factory</x:v>
      </x:c>
      <x:c r="F9" s="31" t="str">
        <x:v>Builder</x:v>
      </x:c>
      <x:c r="G9" s="31" t="str">
        <x:v>Active</x:v>
      </x:c>
      <x:c r="H9" s="31" t="str">
        <x:v>Twice weekly</x:v>
      </x:c>
      <x:c r="I9" s="31" t="str">
        <x:v>04 / 05</x:v>
      </x:c>
    </x:row>
    <x:row r="10">
      <x:c r="A10" s="31" t="str">
        <x:v>R-006</x:v>
      </x:c>
      <x:c r="B10" s="31" t="str">
        <x:v>Bespoke death spiral</x:v>
      </x:c>
      <x:c r="C10" s="31" t="str">
        <x:v>Early clients can pay for one-off features</x:v>
      </x:c>
      <x:c r="D10" s="31" t="str">
        <x:v>Custom request bypasses 3x tracker</x:v>
      </x:c>
      <x:c r="E10" s="31" t="str">
        <x:v>Log every request; no repeatable feature until 3x</x:v>
      </x:c>
      <x:c r="F10" s="31" t="str">
        <x:v>Nate</x:v>
      </x:c>
      <x:c r="G10" s="31" t="str">
        <x:v>Active</x:v>
      </x:c>
      <x:c r="H10" s="31" t="str">
        <x:v>Weekly</x:v>
      </x:c>
      <x:c r="I10" s="31" t="str">
        <x:v>08</x:v>
      </x:c>
    </x:row>
    <x:row r="11">
      <x:c r="A11" s="31" t="str">
        <x:v>R-007</x:v>
      </x:c>
      <x:c r="B11" s="31" t="str">
        <x:v>Seed pull overpromises</x:v>
      </x:c>
      <x:c r="C11" s="31" t="str">
        <x:v>Single/Duo trust depends on accurate extraction</x:v>
      </x:c>
      <x:c r="D11" s="31" t="str">
        <x:v>Seed produces wrong asset/doc set</x:v>
      </x:c>
      <x:c r="E11" s="31" t="str">
        <x:v>User confirmation step and source notes</x:v>
      </x:c>
      <x:c r="F11" s="31" t="str">
        <x:v>Builder</x:v>
      </x:c>
      <x:c r="G11" s="31" t="str">
        <x:v>Active</x:v>
      </x:c>
      <x:c r="H11" s="31" t="str">
        <x:v>Weekly</x:v>
      </x:c>
      <x:c r="I11" s="31" t="str">
        <x:v>04 / 05</x:v>
      </x:c>
    </x:row>
    <x:row r="12">
      <x:c r="A12" s="31" t="str">
        <x:v>R-008</x:v>
      </x:c>
      <x:c r="B12" s="31" t="str">
        <x:v>Packet feels like report dump</x:v>
      </x:c>
      <x:c r="C12" s="31" t="str">
        <x:v>ARCHIEVE must feel like closure/proof</x:v>
      </x:c>
      <x:c r="D12" s="31" t="str">
        <x:v>Packet is long but not useful</x:v>
      </x:c>
      <x:c r="E12" s="31" t="str">
        <x:v>Packet Builder focuses on proof/decisions/next state</x:v>
      </x:c>
      <x:c r="F12" s="31" t="str">
        <x:v>Builder</x:v>
      </x:c>
      <x:c r="G12" s="31" t="str">
        <x:v>Active</x:v>
      </x:c>
      <x:c r="H12" s="31" t="str">
        <x:v>Weekly</x:v>
      </x:c>
      <x:c r="I12" s="31" t="str">
        <x:v>02</x:v>
      </x:c>
    </x:row>
    <x:row r="13">
      <x:c r="A13" s="162" t="str">
        <x:v>R-009</x:v>
      </x:c>
      <x:c r="B13" s="102" t="str">
        <x:v>Integrity without completeness</x:v>
      </x:c>
      <x:c r="C13" s="102" t="str">
        <x:v>A hash chain can verify while receipts are silently omitted</x:v>
      </x:c>
      <x:c r="D13" s="102" t="str">
        <x:v>Verifier passes a partial tail of receipts</x:v>
      </x:c>
      <x:c r="E13" s="102" t="str">
        <x:v>Closing CaseReceipt commits to full receipt set/root</x:v>
      </x:c>
      <x:c r="F13" s="102" t="str">
        <x:v>Builder</x:v>
      </x:c>
      <x:c r="G13" s="102" t="str">
        <x:v>Active</x:v>
      </x:c>
      <x:c r="H13" s="102" t="str">
        <x:v>Weekly</x:v>
      </x:c>
      <x:c r="I13" s="103" t="str">
        <x:v>12 / 15</x:v>
      </x:c>
    </x:row>
    <x:row r="14">
      <x:c r="A14" s="163" t="str">
        <x:v>R-010</x:v>
      </x:c>
      <x:c r="B14" s="105" t="str">
        <x:v>Canonicalization failure</x:v>
      </x:c>
      <x:c r="C14" s="105" t="str">
        <x:v>Independent verification fails if bytes are ambiguous</x:v>
      </x:c>
      <x:c r="D14" s="105" t="str">
        <x:v>Two verifiers compute different hashes</x:v>
      </x:c>
      <x:c r="E14" s="105" t="str">
        <x:v>Freeze PJ Canonical Form v1 before signatures</x:v>
      </x:c>
      <x:c r="F14" s="105" t="str">
        <x:v>Builder</x:v>
      </x:c>
      <x:c r="G14" s="105" t="str">
        <x:v>Active</x:v>
      </x:c>
      <x:c r="H14" s="105" t="str">
        <x:v>Twice weekly</x:v>
      </x:c>
      <x:c r="I14" s="106" t="str">
        <x:v>14</x:v>
      </x:c>
    </x:row>
    <x:row r="15">
      <x:c r="A15" s="163" t="str">
        <x:v>R-011</x:v>
      </x:c>
      <x:c r="B15" s="105" t="str">
        <x:v>Verification URL dependency</x:v>
      </x:c>
      <x:c r="C15" s="105" t="str">
        <x:v>Online-only verification re-imports vendor custody</x:v>
      </x:c>
      <x:c r="D15" s="105" t="str">
        <x:v>Receipt cannot be checked without PublicLogic server</x:v>
      </x:c>
      <x:c r="E15" s="105" t="str">
        <x:v>Offline verifier invariant: packet + receipts + public keys</x:v>
      </x:c>
      <x:c r="F15" s="105" t="str">
        <x:v>Builder</x:v>
      </x:c>
      <x:c r="G15" s="105" t="str">
        <x:v>Active</x:v>
      </x:c>
      <x:c r="H15" s="105" t="str">
        <x:v>Weekly</x:v>
      </x:c>
      <x:c r="I15" s="106" t="str">
        <x:v>17</x:v>
      </x:c>
    </x:row>
    <x:row r="16">
      <x:c r="A16" s="164" t="str">
        <x:v>R-012</x:v>
      </x:c>
      <x:c r="B16" s="118" t="str">
        <x:v>Key compromise / misuse</x:v>
      </x:c>
      <x:c r="C16" s="118" t="str">
        <x:v>A valid signature only proves relative to the signing key</x:v>
      </x:c>
      <x:c r="D16" s="118" t="str">
        <x:v>Clean forged receipts after compromised key</x:v>
      </x:c>
      <x:c r="E16" s="118" t="str">
        <x:v>Separate keys, key registry, co-signing, external anchors</x:v>
      </x:c>
      <x:c r="F16" s="118" t="str">
        <x:v>Nate + Builder</x:v>
      </x:c>
      <x:c r="G16" s="118" t="str">
        <x:v>Active</x:v>
      </x:c>
      <x:c r="H16" s="118" t="str">
        <x:v>Weekly</x:v>
      </x:c>
      <x:c r="I16" s="119" t="str">
        <x:v>16</x:v>
      </x:c>
    </x:row>
  </x:sheetData>
  <x:mergeCells>
    <x:mergeCell ref="A1:J1"/>
    <x:mergeCell ref="A2:J2"/>
  </x:mergeCells>
  <x:dataValidations count="1">
    <x:dataValidation type="list" sqref="G5:G12">
      <x:formula1>"Active,Watching,Mitigated,Closed"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6" hidden="0" customWidth="1"/>
    <x:col min="4" max="4" width="38" hidden="0" customWidth="1"/>
    <x:col min="5" max="5" width="12" hidden="0" customWidth="1"/>
    <x:col min="6" max="6" width="28" hidden="0" customWidth="1"/>
  </x:cols>
  <x:sheetData>
    <x:row r="1" ht="28" customHeight="1">
      <x:c r="A1" s="194" t="str">
        <x:v>Scope Guards and 3x Rule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</x:row>
    <x:row r="2" ht="30" customHeight="1">
      <x:c r="A2" s="13" t="str">
        <x:v>Use this when a tempting feature or client request tries to pull PJ off doctrine.</x:v>
      </x:c>
    </x:row>
    <x:row r="4" ht="26" customHeight="1">
      <x:c r="A4" s="30" t="str">
        <x:v>Area</x:v>
      </x:c>
      <x:c r="B4" s="30" t="str">
        <x:v>PJ Does</x:v>
      </x:c>
      <x:c r="C4" s="30" t="str">
        <x:v>PJ Does Not</x:v>
      </x:c>
      <x:c r="D4" s="30" t="str">
        <x:v>Default Answer</x:v>
      </x:c>
      <x:c r="E4" s="30" t="str">
        <x:v>3x Rule?</x:v>
      </x:c>
      <x:c r="F4" s="30" t="str">
        <x:v>Protected Principle</x:v>
      </x:c>
    </x:row>
    <x:row r="5">
      <x:c r="A5" s="31" t="str">
        <x:v>System of Record</x:v>
      </x:c>
      <x:c r="B5" s="31" t="str">
        <x:v>Govern explanation layer and recordstream</x:v>
      </x:c>
      <x:c r="C5" s="31" t="str">
        <x:v>Replace every existing system</x:v>
      </x:c>
      <x:c r="D5" s="31" t="str">
        <x:v>Keep your tools; PJ governs the record.</x:v>
      </x:c>
      <x:c r="E5" s="31" t="str">
        <x:v>Yes</x:v>
      </x:c>
      <x:c r="F5" s="31" t="str">
        <x:v>Containment, not displacement</x:v>
      </x:c>
    </x:row>
    <x:row r="6">
      <x:c r="A6" s="31" t="str">
        <x:v>Automation</x:v>
      </x:c>
      <x:c r="B6" s="31" t="str">
        <x:v>Run governed reminders, summaries, record updates, packet assembly</x:v>
      </x:c>
      <x:c r="C6" s="31" t="str">
        <x:v>Run silent robots with no source/basis</x:v>
      </x:c>
      <x:c r="D6" s="31" t="str">
        <x:v>Automation must write back to PRR.</x:v>
      </x:c>
      <x:c r="E6" s="31" t="str">
        <x:v>Yes</x:v>
      </x:c>
      <x:c r="F6" s="31" t="str">
        <x:v>Governed automation only</x:v>
      </x:c>
    </x:row>
    <x:row r="7">
      <x:c r="A7" s="31" t="str">
        <x:v>STAY</x:v>
      </x:c>
      <x:c r="B7" s="31" t="str">
        <x:v>Guestbook, turnover proof, maintenance evidence, owner ops</x:v>
      </x:c>
      <x:c r="C7" s="31" t="str">
        <x:v>Become PMS by default</x:v>
      </x:c>
      <x:c r="D7" s="31" t="str">
        <x:v>STAY is the visible proof skin.</x:v>
      </x:c>
      <x:c r="E7" s="31" t="str">
        <x:v>Yes</x:v>
      </x:c>
      <x:c r="F7" s="31" t="str">
        <x:v>Demo without scope creep</x:v>
      </x:c>
    </x:row>
    <x:row r="8">
      <x:c r="A8" s="31" t="str">
        <x:v>MUNI</x:v>
      </x:c>
      <x:c r="B8" s="31" t="str">
        <x:v>PRR, permits, decisions, SOPs, procurement files</x:v>
      </x:c>
      <x:c r="C8" s="31" t="str">
        <x:v>Replace ERP/clerk software/legal counsel</x:v>
      </x:c>
      <x:c r="D8" s="31" t="str">
        <x:v>MUNI keeps the file lawful and traceable.</x:v>
      </x:c>
      <x:c r="E8" s="31" t="str">
        <x:v>Yes</x:v>
      </x:c>
      <x:c r="F8" s="31" t="str">
        <x:v>Lawful record</x:v>
      </x:c>
    </x:row>
    <x:row r="9">
      <x:c r="A9" s="31" t="str">
        <x:v>PROJECT</x:v>
      </x:c>
      <x:c r="B9" s="31" t="str">
        <x:v>Funder readiness, VDR, evidence, permitting, capital project governance</x:v>
      </x:c>
      <x:c r="C9" s="31" t="str">
        <x:v>Broker/engineer/grant writer by default</x:v>
      </x:c>
      <x:c r="D9" s="31" t="str">
        <x:v>PROJECT organizes record and gaps.</x:v>
      </x:c>
      <x:c r="E9" s="31" t="str">
        <x:v>Yes</x:v>
      </x:c>
      <x:c r="F9" s="31" t="str">
        <x:v>Govern the project record</x:v>
      </x:c>
    </x:row>
    <x:row r="10">
      <x:c r="A10" s="31" t="str">
        <x:v>BIZ</x:v>
      </x:c>
      <x:c r="B10" s="31" t="str">
        <x:v>Client intake, scope, decisions, deliverables, closeout</x:v>
      </x:c>
      <x:c r="C10" s="31" t="str">
        <x:v>Become CRM/accounting replacement</x:v>
      </x:c>
      <x:c r="D10" s="31" t="str">
        <x:v>BIZ closes client work cleanly.</x:v>
      </x:c>
      <x:c r="E10" s="31" t="str">
        <x:v>Yes</x:v>
      </x:c>
      <x:c r="F10" s="31" t="str">
        <x:v>Closure over activity</x:v>
      </x:c>
    </x:row>
    <x:row r="11">
      <x:c r="A11" s="31" t="str">
        <x:v>Single/Duo</x:v>
      </x:c>
      <x:c r="B11" s="31" t="str">
        <x:v>Seed asset/doc/process set and forms with teeth</x:v>
      </x:c>
      <x:c r="C11" s="31" t="str">
        <x:v>Pretend one upload solves everything</x:v>
      </x:c>
      <x:c r="D11" s="31" t="str">
        <x:v>Upload a seed; PJ builds the governed start.</x:v>
      </x:c>
      <x:c r="E11" s="31" t="str">
        <x:v>Yes</x:v>
      </x:c>
      <x:c r="F11" s="31" t="str">
        <x:v>Small first</x:v>
      </x:c>
    </x:row>
    <x:row r="12">
      <x:c r="A12" s="31" t="str">
        <x:v>Dashboard</x:v>
      </x:c>
      <x:c r="B12" s="31" t="str">
        <x:v>Render internal depth into five tabs</x:v>
      </x:c>
      <x:c r="C12" s="31" t="str">
        <x:v>Expose every object to client</x:v>
      </x:c>
      <x:c r="D12" s="31" t="str">
        <x:v>Client sees clarity, not machine room.</x:v>
      </x:c>
      <x:c r="E12" s="31" t="str">
        <x:v>No</x:v>
      </x:c>
      <x:c r="F12" s="31" t="str">
        <x:v>Small edge</x:v>
      </x:c>
    </x:row>
    <x:row r="13">
      <x:c r="A13" s="31" t="str">
        <x:v>Packet/Seal</x:v>
      </x:c>
      <x:c r="B13" s="31" t="str">
        <x:v>Compile proof, decisions, open items, handoff</x:v>
      </x:c>
      <x:c r="C13" s="31" t="str">
        <x:v>Guarantee legal/funder approval</x:v>
      </x:c>
      <x:c r="D13" s="31" t="str">
        <x:v>PJ produces disciplined record.</x:v>
      </x:c>
      <x:c r="E13" s="31" t="str">
        <x:v>Yes</x:v>
      </x:c>
      <x:c r="F13" s="31" t="str">
        <x:v>Proof is product</x:v>
      </x:c>
    </x:row>
    <x:row r="14">
      <x:c r="A14" s="168" t="str">
        <x:v>Verifiable Record</x:v>
      </x:c>
      <x:c r="B14" s="102" t="str">
        <x:v>Issue signed receipts over canonical objects and closing CaseReceipts over full receipt sets</x:v>
      </x:c>
      <x:c r="C14" s="102" t="str">
        <x:v>Claim every real-world fact is true or complete before capture</x:v>
      </x:c>
      <x:c r="D14" s="102" t="str">
        <x:v>PJ proves what was in the record and what was sealed.</x:v>
      </x:c>
      <x:c r="E14" s="102" t="str">
        <x:v>No</x:v>
      </x:c>
      <x:c r="F14" s="103" t="str">
        <x:v>Existence-at-time, not absolute truth</x:v>
      </x:c>
    </x:row>
    <x:row r="15">
      <x:c r="A15" s="169" t="str">
        <x:v>Canonical Form</x:v>
      </x:c>
      <x:c r="B15" s="105" t="str">
        <x:v>Define deterministic bytes and include canonical objects in packet</x:v>
      </x:c>
      <x:c r="C15" s="105" t="str">
        <x:v>Hash whatever the app happens to store</x:v>
      </x:c>
      <x:c r="D15" s="105" t="str">
        <x:v>Canonicalization is a build deliverable.</x:v>
      </x:c>
      <x:c r="E15" s="105" t="str">
        <x:v>No</x:v>
      </x:c>
      <x:c r="F15" s="106" t="str">
        <x:v>Same bytes, same hash</x:v>
      </x:c>
    </x:row>
    <x:row r="16">
      <x:c r="A16" s="169" t="str">
        <x:v>Offline Verification</x:v>
      </x:c>
      <x:c r="B16" s="105" t="str">
        <x:v>Verify from packet + receipts + public keys</x:v>
      </x:c>
      <x:c r="C16" s="105" t="str">
        <x:v>Require PublicLogic-hosted verification to prove a record</x:v>
      </x:c>
      <x:c r="D16" s="105" t="str">
        <x:v>URL helps; offline verification governs.</x:v>
      </x:c>
      <x:c r="E16" s="105" t="str">
        <x:v>No</x:v>
      </x:c>
      <x:c r="F16" s="106" t="str">
        <x:v>No-custody trust</x:v>
      </x:c>
    </x:row>
    <x:row r="17">
      <x:c r="A17" s="170" t="str">
        <x:v>Keys / Anchors</x:v>
      </x:c>
      <x:c r="B17" s="118" t="str">
        <x:v>Separate runtime, organization, and closure signatures; use anchors for high-trust seals</x:v>
      </x:c>
      <x:c r="C17" s="118" t="str">
        <x:v>Treat one vendor key as universal truth</x:v>
      </x:c>
      <x:c r="D17" s="118" t="str">
        <x:v>Key meaning and publication matter.</x:v>
      </x:c>
      <x:c r="E17" s="118" t="str">
        <x:v>Yes</x:v>
      </x:c>
      <x:c r="F17" s="119" t="str">
        <x:v>Trust without custody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8" hidden="0" customWidth="1"/>
    <x:col min="4" max="4" width="28" hidden="0" customWidth="1"/>
    <x:col min="5" max="5" width="34" hidden="0" customWidth="1"/>
  </x:cols>
  <x:sheetData>
    <x:row r="1" ht="28" customHeight="1">
      <x:c r="A1" s="74" t="str">
        <x:v>Demo Script</x:v>
      </x:c>
    </x:row>
    <x:row r="2" ht="30" customHeight="1">
      <x:c r="A2" s="75" t="str">
        <x:v>Sell the outcome, not the machine.</x:v>
      </x:c>
    </x:row>
    <x:row r="4" ht="26" customHeight="1">
      <x:c r="A4" s="30" t="str">
        <x:v>Moment</x:v>
      </x:c>
      <x:c r="B4" s="30" t="str">
        <x:v>What To Say</x:v>
      </x:c>
      <x:c r="C4" s="30" t="str">
        <x:v>What To Show</x:v>
      </x:c>
      <x:c r="D4" s="30" t="str">
        <x:v>Avoid Saying</x:v>
      </x:c>
      <x:c r="E4" s="30" t="str">
        <x:v>Proof Point</x:v>
      </x:c>
    </x:row>
    <x:row r="5">
      <x:c r="A5" s="31" t="str">
        <x:v>Open</x:v>
      </x:c>
      <x:c r="B5" s="31" t="str">
        <x:v>Your tools can stay messy. The record cannot.</x:v>
      </x:c>
      <x:c r="C5" s="31" t="str">
        <x:v>Clean CaseSpace Overview</x:v>
      </x:c>
      <x:c r="D5" s="31" t="str">
        <x:v>AI automation platform</x:v>
      </x:c>
      <x:c r="E5" s="31" t="str">
        <x:v>Containment, not replacement</x:v>
      </x:c>
    </x:row>
    <x:row r="6">
      <x:c r="A6" s="31" t="str">
        <x:v>Pain</x:v>
      </x:c>
      <x:c r="B6" s="31" t="str">
        <x:v>Most work fails because decisions, documents, and proof get scattered.</x:v>
      </x:c>
      <x:c r="C6" s="31" t="str">
        <x:v>Before/after view</x:v>
      </x:c>
      <x:c r="D6" s="31" t="str">
        <x:v>Productivity gains</x:v>
      </x:c>
      <x:c r="E6" s="31" t="str">
        <x:v>Real fear: dropped balls</x:v>
      </x:c>
    </x:row>
    <x:row r="7">
      <x:c r="A7" s="31" t="str">
        <x:v>Seed</x:v>
      </x:c>
      <x:c r="B7" s="31" t="str">
        <x:v>Start with what you already have: logo, domain, listing, folder, or email thread.</x:v>
      </x:c>
      <x:c r="C7" s="31" t="str">
        <x:v>Source Profile intake</x:v>
      </x:c>
      <x:c r="D7" s="31" t="str">
        <x:v>Blank workflow builder</x:v>
      </x:c>
      <x:c r="E7" s="31" t="str">
        <x:v>Low-friction adoption</x:v>
      </x:c>
    </x:row>
    <x:row r="8">
      <x:c r="A8" s="31" t="str">
        <x:v>Form</x:v>
      </x:c>
      <x:c r="B8" s="31" t="str">
        <x:v>The form opens the work and gives it a path.</x:v>
      </x:c>
      <x:c r="C8" s="31" t="str">
        <x:v>Universal FORM</x:v>
      </x:c>
      <x:c r="D8" s="31" t="str">
        <x:v>Survey</x:v>
      </x:c>
      <x:c r="E8" s="31" t="str">
        <x:v>Forms create opportunity</x:v>
      </x:c>
    </x:row>
    <x:row r="9">
      <x:c r="A9" s="31" t="str">
        <x:v>Record</x:v>
      </x:c>
      <x:c r="B9" s="31" t="str">
        <x:v>Every important move writes to a live recordstream.</x:v>
      </x:c>
      <x:c r="C9" s="31" t="str">
        <x:v>PRR timeline</x:v>
      </x:c>
      <x:c r="D9" s="31" t="str">
        <x:v>Audit log jargon</x:v>
      </x:c>
      <x:c r="E9" s="31" t="str">
        <x:v>Never lose the thread</x:v>
      </x:c>
    </x:row>
    <x:row r="10">
      <x:c r="A10" s="31" t="str">
        <x:v>Evidence</x:v>
      </x:c>
      <x:c r="B10" s="31" t="str">
        <x:v>When something is missing, PJ asks for proof and tracks it.</x:v>
      </x:c>
      <x:c r="C10" s="31" t="str">
        <x:v>Evidence Request</x:v>
      </x:c>
      <x:c r="D10" s="31" t="str">
        <x:v>Task management</x:v>
      </x:c>
      <x:c r="E10" s="31" t="str">
        <x:v>Proof is the product</x:v>
      </x:c>
    </x:row>
    <x:row r="11">
      <x:c r="A11" s="31" t="str">
        <x:v>Gate/Check</x:v>
      </x:c>
      <x:c r="B11" s="31" t="str">
        <x:v>Before work advances, PJ checks who can decide and what is still missing.</x:v>
      </x:c>
      <x:c r="C11" s="31" t="str">
        <x:v>CAL/PRM status</x:v>
      </x:c>
      <x:c r="D11" s="31" t="str">
        <x:v>Algorithm</x:v>
      </x:c>
      <x:c r="E11" s="31" t="str">
        <x:v>Governance made visible</x:v>
      </x:c>
    </x:row>
    <x:row r="12">
      <x:c r="A12" s="31" t="str">
        <x:v>Digest</x:v>
      </x:c>
      <x:c r="B12" s="31" t="str">
        <x:v>The client sees what changed, what is missing, and what is next.</x:v>
      </x:c>
      <x:c r="C12" s="31" t="str">
        <x:v>Weekly Digest / Next Steps</x:v>
      </x:c>
      <x:c r="D12" s="31" t="str">
        <x:v>Dashboard</x:v>
      </x:c>
      <x:c r="E12" s="31" t="str">
        <x:v>Clarity at the edge</x:v>
      </x:c>
    </x:row>
    <x:row r="13">
      <x:c r="A13" s="31" t="str">
        <x:v>Seal</x:v>
      </x:c>
      <x:c r="B13" s="31" t="str">
        <x:v>When the work closes, PJ produces a sealed handoff packet.</x:v>
      </x:c>
      <x:c r="C13" s="31" t="str">
        <x:v>ARCHIEVE Packet</x:v>
      </x:c>
      <x:c r="D13" s="31" t="str">
        <x:v>Export</x:v>
      </x:c>
      <x:c r="E13" s="31" t="str">
        <x:v>Closure moment</x:v>
      </x:c>
    </x:row>
    <x:row r="14">
      <x:c r="A14" s="31" t="str">
        <x:v>Close</x:v>
      </x:c>
      <x:c r="B14" s="31" t="str">
        <x:v>Single and Duo start fast. Bigger work becomes a Live CaseSpace.</x:v>
      </x:c>
      <x:c r="C14" s="31" t="str">
        <x:v>Offer ladder</x:v>
      </x:c>
      <x:c r="D14" s="31" t="str">
        <x:v>Enterprise transformation</x:v>
      </x:c>
      <x:c r="E14" s="31" t="str">
        <x:v>Clear adoption path</x:v>
      </x:c>
    </x:row>
    <x:row r="15">
      <x:c r="A15" s="31" t="str">
        <x:v>STAY Guestbook</x:v>
      </x:c>
      <x:c r="B15" s="31" t="str">
        <x:v>The guest sees a calm house guide, not the machinery.</x:v>
      </x:c>
      <x:c r="C15" s="31" t="str">
        <x:v>View-only guestbook: info, controls, rules, local guide.</x:v>
      </x:c>
      <x:c r="D15" s="31" t="str">
        <x:v>PMS / channel manager</x:v>
      </x:c>
      <x:c r="E15" s="31" t="str">
        <x:v>Guest surface stays thin.</x:v>
      </x:c>
    </x:row>
    <x:row r="16">
      <x:c r="A16" s="31" t="str">
        <x:v>STAY Turnover</x:v>
      </x:c>
      <x:c r="B16" s="31" t="str">
        <x:v>The cleaner proves readiness with a task-bound checklist.</x:v>
      </x:c>
      <x:c r="C16" s="31" t="str">
        <x:v>Turnover checklist with photo/status evidence.</x:v>
      </x:c>
      <x:c r="D16" s="31" t="str">
        <x:v>Full labor management app</x:v>
      </x:c>
      <x:c r="E16" s="31" t="str">
        <x:v>Readiness proof writes to PRR.</x:v>
      </x:c>
    </x:row>
    <x:row r="17">
      <x:c r="A17" s="31" t="str">
        <x:v>STAY Owner View</x:v>
      </x:c>
      <x:c r="B17" s="31" t="str">
        <x:v>The owner sees arrivals, checkouts, issues, and what changed.</x:v>
      </x:c>
      <x:c r="C17" s="31" t="str">
        <x:v>Owner dashboard with arrivals/checkouts/issues/maintenance.</x:v>
      </x:c>
      <x:c r="D17" s="31" t="str">
        <x:v>Property management system</x:v>
      </x:c>
      <x:c r="E17" s="31" t="str">
        <x:v>Same CaseSpace, different permission surface.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42" hidden="0" customWidth="1"/>
    <x:col min="4" max="4" width="36" hidden="0" customWidth="1"/>
    <x:col min="5" max="5" width="42" hidden="0" customWidth="1"/>
    <x:col min="6" max="6" width="16" hidden="0" customWidth="1"/>
    <x:col min="7" max="7" width="14" hidden="0" customWidth="1"/>
    <x:col min="8" max="8" width="14" hidden="0" customWidth="1"/>
    <x:col min="9" max="9" width="24" hidden="0" customWidth="1"/>
    <x:col min="10" max="10" width="30" hidden="0" customWidth="1"/>
  </x:cols>
  <x:sheetData>
    <x:row r="1" ht="28" customHeight="1">
      <x:c r="A1" s="193" t="str">
        <x:v>Launch Decision Log</x:v>
      </x:c>
      <x:c r="B1" s="195"/>
      <x:c r="C1" s="28"/>
      <x:c r="D1" s="28"/>
      <x:c r="E1" s="28"/>
      <x:c r="F1" s="28"/>
      <x:c r="G1" s="28"/>
      <x:c r="H1" s="28"/>
      <x:c r="I1" s="28"/>
      <x:c r="J1" s="28"/>
      <x:c r="K1" s="28"/>
    </x:row>
    <x:row r="2" ht="30" customHeight="1">
      <x:c r="A2" s="75" t="str">
        <x:v>The running control record for product decisions after the workbook is frozen.</x:v>
      </x:c>
    </x:row>
    <x:row r="4" ht="26" customHeight="1">
      <x:c r="A4" s="30" t="str">
        <x:v>Decision ID</x:v>
      </x:c>
      <x:c r="B4" s="30" t="str">
        <x:v>Date</x:v>
      </x:c>
      <x:c r="C4" s="30" t="str">
        <x:v>Decision</x:v>
      </x:c>
      <x:c r="D4" s="30" t="str">
        <x:v>Options Considered</x:v>
      </x:c>
      <x:c r="E4" s="30" t="str">
        <x:v>Rationale</x:v>
      </x:c>
      <x:c r="F4" s="30" t="str">
        <x:v>Owner</x:v>
      </x:c>
      <x:c r="G4" s="30" t="str">
        <x:v>Status</x:v>
      </x:c>
      <x:c r="H4" s="30" t="str">
        <x:v>Revisit Date</x:v>
      </x:c>
      <x:c r="I4" s="30" t="str">
        <x:v>Evidence / Link</x:v>
      </x:c>
      <x:c r="J4" s="30" t="str">
        <x:v>Notes</x:v>
      </x:c>
    </x:row>
    <x:row r="5">
      <x:c r="A5" s="31" t="str">
        <x:v>D-001</x:v>
      </x:c>
      <x:c r="B5" s="56" t="str">
        <x:v>2026-06-28</x:v>
      </x:c>
      <x:c r="C5" s="31" t="str">
        <x:v>Final public lanes are STAY, MUNI, PROJECT, BIZ; CORE is internal</x:v>
      </x:c>
      <x:c r="D5" s="31" t="str">
        <x:v>Keep GRANT as lane; rename to PROJECT</x:v>
      </x:c>
      <x:c r="E5" s="31" t="str">
        <x:v>GRANT is a module family, not a market lane</x:v>
      </x:c>
      <x:c r="F5" s="31" t="str">
        <x:v>Nate</x:v>
      </x:c>
      <x:c r="G5" s="31" t="str">
        <x:v>Locked</x:v>
      </x:c>
      <x:c r="H5" s="31" t="str"/>
      <x:c r="I5" s="31" t="str">
        <x:v>Final lane doctrine</x:v>
      </x:c>
      <x:c r="J5" s="31" t="str"/>
    </x:row>
    <x:row r="6">
      <x:c r="A6" s="31" t="str">
        <x:v>D-002</x:v>
      </x:c>
      <x:c r="B6" s="56" t="str">
        <x:v>2026-06-28</x:v>
      </x:c>
      <x:c r="C6" s="31" t="str">
        <x:v>Single/Duo are entry modes, not lanes</x:v>
      </x:c>
      <x:c r="D6" s="31" t="str">
        <x:v>Make Single/Duo lanes; keep as pricing/adoption modes</x:v>
      </x:c>
      <x:c r="E6" s="31" t="str">
        <x:v>They cut across lanes and are easiest starter surface</x:v>
      </x:c>
      <x:c r="F6" s="31" t="str">
        <x:v>Nate</x:v>
      </x:c>
      <x:c r="G6" s="31" t="str">
        <x:v>Locked</x:v>
      </x:c>
      <x:c r="H6" s="31" t="str"/>
      <x:c r="I6" s="31" t="str">
        <x:v>Single/Duo doctrine</x:v>
      </x:c>
      <x:c r="J6" s="31" t="str"/>
    </x:row>
    <x:row r="7">
      <x:c r="A7" s="31" t="str">
        <x:v>D-003</x:v>
      </x:c>
      <x:c r="B7" s="56" t="str">
        <x:v>2026-06-28</x:v>
      </x:c>
      <x:c r="C7" s="31" t="str">
        <x:v>Build Golden Path before lane depth</x:v>
      </x:c>
      <x:c r="D7" s="31" t="str">
        <x:v>Build STAY first; build all modules; build runtime first</x:v>
      </x:c>
      <x:c r="E7" s="31" t="str">
        <x:v>Runtime proof creates reusable module factory</x:v>
      </x:c>
      <x:c r="F7" s="31" t="str">
        <x:v>Nate</x:v>
      </x:c>
      <x:c r="G7" s="31" t="str">
        <x:v>Locked</x:v>
      </x:c>
      <x:c r="H7" s="31" t="str"/>
      <x:c r="I7" s="31" t="str">
        <x:v>Golden Path spec</x:v>
      </x:c>
      <x:c r="J7" s="31" t="str"/>
    </x:row>
    <x:row r="8">
      <x:c r="A8" s="31" t="str">
        <x:v>D-004</x:v>
      </x:c>
      <x:c r="B8" s="56" t="str">
        <x:v>2026-06-28</x:v>
      </x:c>
      <x:c r="C8" s="31" t="str">
        <x:v>Governance is internal doctrine; public pitch is clarity/proof/closure</x:v>
      </x:c>
      <x:c r="D8" s="31" t="str">
        <x:v>Use governance in marketing; hide it entirely</x:v>
      </x:c>
      <x:c r="E8" s="31" t="str">
        <x:v>Translation layer lets MUNI/procurement understand while STAY/BIZ stays human</x:v>
      </x:c>
      <x:c r="F8" s="31" t="str">
        <x:v>Nate</x:v>
      </x:c>
      <x:c r="G8" s="31" t="str">
        <x:v>Locked</x:v>
      </x:c>
      <x:c r="H8" s="31" t="str"/>
      <x:c r="I8" s="31" t="str">
        <x:v>Demo script</x:v>
      </x:c>
      <x:c r="J8" s="31" t="str"/>
    </x:row>
    <x:row r="9">
      <x:c r="A9" s="31" t="str">
        <x:v>D-005</x:v>
      </x:c>
      <x:c r="B9" s="56" t="str">
        <x:v>2026-06-28</x:v>
      </x:c>
      <x:c r="C9" s="31" t="str">
        <x:v>STAY demo is limited to Guestbook, Turnover, and Owner View</x:v>
      </x:c>
      <x:c r="D9" s="31" t="str">
        <x:v>Build full PMS; build only guestbook; skip STAY demo</x:v>
      </x:c>
      <x:c r="E9" s="31" t="str">
        <x:v>Three surfaces prove the lane without hijacking the runtime</x:v>
      </x:c>
      <x:c r="F9" s="31" t="str">
        <x:v>Nate</x:v>
      </x:c>
      <x:c r="G9" s="31" t="str">
        <x:v>Locked</x:v>
      </x:c>
      <x:c r="H9" s="31"/>
      <x:c r="I9" s="31" t="str">
        <x:v>11_Launch_Locks</x:v>
      </x:c>
      <x:c r="J9" s="31" t="str">
        <x:v>No channel manager/pricing engine.</x:v>
      </x:c>
    </x:row>
    <x:row r="10">
      <x:c r="A10" s="31" t="str">
        <x:v>D-006</x:v>
      </x:c>
      <x:c r="B10" s="56" t="str">
        <x:v>2026-06-28</x:v>
      </x:c>
      <x:c r="C10" s="31" t="str">
        <x:v>Single and Duo pricing anchors are $29/mo and $59/mo</x:v>
      </x:c>
      <x:c r="D10" s="31" t="str">
        <x:v>Keep TBD; make free; price higher</x:v>
      </x:c>
      <x:c r="E10" s="31" t="str">
        <x:v>Pilot users need a real anchor; discounts can still be offered</x:v>
      </x:c>
      <x:c r="F10" s="31" t="str">
        <x:v>Nate</x:v>
      </x:c>
      <x:c r="G10" s="31" t="str">
        <x:v>Locked</x:v>
      </x:c>
      <x:c r="H10" s="31"/>
      <x:c r="I10" s="31" t="str">
        <x:v>06_Pricing_Adoption</x:v>
      </x:c>
      <x:c r="J10" s="31" t="str">
        <x:v>Internal launch assumption.</x:v>
      </x:c>
    </x:row>
    <x:row r="11">
      <x:c r="A11" s="31" t="str">
        <x:v>D-007</x:v>
      </x:c>
      <x:c r="B11" s="56" t="str">
        <x:v>2026-06-28</x:v>
      </x:c>
      <x:c r="C11" s="31" t="str">
        <x:v>Team is not built until three paying Duo users request it</x:v>
      </x:c>
      <x:c r="D11" s="31" t="str">
        <x:v>Build Team now; ignore Team; price Team only</x:v>
      </x:c>
      <x:c r="E11" s="31" t="str">
        <x:v>3x Rule applies to the adoption ladder</x:v>
      </x:c>
      <x:c r="F11" s="31" t="str">
        <x:v>Nate</x:v>
      </x:c>
      <x:c r="G11" s="31" t="str">
        <x:v>Guarded</x:v>
      </x:c>
      <x:c r="H11" s="31"/>
      <x:c r="I11" s="31" t="str">
        <x:v>06_Pricing_Adoption</x:v>
      </x:c>
      <x:c r="J11" s="31" t="str">
        <x:v>Protects Golden Path.</x:v>
      </x:c>
    </x:row>
    <x:row r="12">
      <x:c r="A12" s="31" t="str">
        <x:v>D-008</x:v>
      </x:c>
      <x:c r="B12" s="56" t="str">
        <x:v>2026-06-28</x:v>
      </x:c>
      <x:c r="C12" s="31" t="str">
        <x:v>Dashboard Composer / Edge Mapper ships with CaseSpace Factory</x:v>
      </x:c>
      <x:c r="D12" s="31" t="str">
        <x:v>Build after lane skins; build manual dashboards</x:v>
      </x:c>
      <x:c r="E12" s="31" t="str">
        <x:v>Five-tab rule only works if edge mapping exists early</x:v>
      </x:c>
      <x:c r="F12" s="31" t="str">
        <x:v>Builder</x:v>
      </x:c>
      <x:c r="G12" s="31" t="str">
        <x:v>Locked</x:v>
      </x:c>
      <x:c r="H12" s="31"/>
      <x:c r="I12" s="31" t="str">
        <x:v>03_90_Day_Execution</x:v>
      </x:c>
      <x:c r="J12" s="31" t="str">
        <x:v>Protects small edge.</x:v>
      </x:c>
    </x:row>
    <x:row r="13">
      <x:c r="A13" s="184" t="str">
        <x:v>D-009</x:v>
      </x:c>
      <x:c r="B13" s="178" t="str">
        <x:v>2026-06-28</x:v>
      </x:c>
      <x:c r="C13" s="102" t="str">
        <x:v>Immutability is redefined as tamper-evidence across custody boundaries</x:v>
      </x:c>
      <x:c r="D13" s="102" t="str">
        <x:v>Database-trigger immutability; portable receipt proof</x:v>
      </x:c>
      <x:c r="E13" s="102" t="str">
        <x:v>No-custody model requires the proof to travel with the record</x:v>
      </x:c>
      <x:c r="F13" s="102" t="str">
        <x:v>Nate</x:v>
      </x:c>
      <x:c r="G13" s="102" t="str">
        <x:v>Locked</x:v>
      </x:c>
      <x:c r="H13" s="102"/>
      <x:c r="I13" s="102" t="str">
        <x:v>12_Verifiable_Record</x:v>
      </x:c>
      <x:c r="J13" s="103" t="str">
        <x:v>Canon fork from custody to cryptography.</x:v>
      </x:c>
    </x:row>
    <x:row r="14">
      <x:c r="A14" s="185" t="str">
        <x:v>D-010</x:v>
      </x:c>
      <x:c r="B14" s="179" t="str">
        <x:v>2026-06-28</x:v>
      </x:c>
      <x:c r="C14" s="105" t="str">
        <x:v>Canonical Form v1 is required before receipt/signature build</x:v>
      </x:c>
      <x:c r="D14" s="105" t="str">
        <x:v>Implement signatures first; canonicalize later</x:v>
      </x:c>
      <x:c r="E14" s="105" t="str">
        <x:v>Signatures only matter if bytes are deterministic</x:v>
      </x:c>
      <x:c r="F14" s="105" t="str">
        <x:v>Builder</x:v>
      </x:c>
      <x:c r="G14" s="105" t="str">
        <x:v>Locked</x:v>
      </x:c>
      <x:c r="H14" s="105"/>
      <x:c r="I14" s="105" t="str">
        <x:v>14_Canonical_Form</x:v>
      </x:c>
      <x:c r="J14" s="106" t="str">
        <x:v>Build blocker for verifiable receipts.</x:v>
      </x:c>
    </x:row>
    <x:row r="15">
      <x:c r="A15" s="185" t="str">
        <x:v>D-011</x:v>
      </x:c>
      <x:c r="B15" s="179" t="str">
        <x:v>2026-06-28</x:v>
      </x:c>
      <x:c r="C15" s="105" t="str">
        <x:v>ARCHIEVE must produce a closing CaseReceipt manifest</x:v>
      </x:c>
      <x:c r="D15" s="105" t="str">
        <x:v>Final event only; PDF export only</x:v>
      </x:c>
      <x:c r="E15" s="105" t="str">
        <x:v>Completeness requires a set-level commitment, not only event integrity</x:v>
      </x:c>
      <x:c r="F15" s="105" t="str">
        <x:v>Builder</x:v>
      </x:c>
      <x:c r="G15" s="105" t="str">
        <x:v>Locked</x:v>
      </x:c>
      <x:c r="H15" s="105"/>
      <x:c r="I15" s="105" t="str">
        <x:v>15_CaseReceipt_Manifest</x:v>
      </x:c>
      <x:c r="J15" s="106" t="str">
        <x:v>Stops silent omission at close.</x:v>
      </x:c>
    </x:row>
    <x:row r="16">
      <x:c r="A16" s="185" t="str">
        <x:v>D-012</x:v>
      </x:c>
      <x:c r="B16" s="179" t="str">
        <x:v>2026-06-28</x:v>
      </x:c>
      <x:c r="C16" s="105" t="str">
        <x:v>Verification must work offline</x:v>
      </x:c>
      <x:c r="D16" s="105" t="str">
        <x:v>PublicLogic verification URL required</x:v>
      </x:c>
      <x:c r="E16" s="105" t="str">
        <x:v>No-custody pitch fails if proof depends on vendor endpoint</x:v>
      </x:c>
      <x:c r="F16" s="105" t="str">
        <x:v>Builder</x:v>
      </x:c>
      <x:c r="G16" s="105" t="str">
        <x:v>Locked</x:v>
      </x:c>
      <x:c r="H16" s="105"/>
      <x:c r="I16" s="105" t="str">
        <x:v>17_Offline_Verifier</x:v>
      </x:c>
      <x:c r="J16" s="106" t="str">
        <x:v>URL is convenience only.</x:v>
      </x:c>
    </x:row>
    <x:row r="17">
      <x:c r="A17" s="186" t="str">
        <x:v>D-013</x:v>
      </x:c>
      <x:c r="B17" s="180" t="str">
        <x:v>2026-06-28</x:v>
      </x:c>
      <x:c r="C17" s="118" t="str">
        <x:v>Trust model uses separated signing meanings and optional anchors</x:v>
      </x:c>
      <x:c r="D17" s="118" t="str">
        <x:v>Vendor signs all; no anchor</x:v>
      </x:c>
      <x:c r="E17" s="118" t="str">
        <x:v>Key custody replaces data custody unless signing and anchoring are disciplined</x:v>
      </x:c>
      <x:c r="F17" s="118" t="str">
        <x:v>Nate + Builder</x:v>
      </x:c>
      <x:c r="G17" s="118" t="str">
        <x:v>Locked</x:v>
      </x:c>
      <x:c r="H17" s="118"/>
      <x:c r="I17" s="118" t="str">
        <x:v>16_Keys_Anchors</x:v>
      </x:c>
      <x:c r="J17" s="119" t="str">
        <x:v>Especially important for MUNI/PROJECT.</x:v>
      </x:c>
    </x:row>
    <x:row r="18">
      <x:c r="B18" s="57"/>
    </x:row>
    <x:row r="19">
      <x:c r="B19" s="57"/>
    </x:row>
    <x:row r="20">
      <x:c r="B20" s="57"/>
    </x:row>
    <x:row r="21">
      <x:c r="B21" s="57"/>
    </x:row>
    <x:row r="22">
      <x:c r="B22" s="57"/>
    </x:row>
    <x:row r="23">
      <x:c r="B23" s="57"/>
    </x:row>
    <x:row r="24">
      <x:c r="B24" s="57"/>
    </x:row>
    <x:row r="25">
      <x:c r="B25" s="57"/>
    </x:row>
    <x:row r="26">
      <x:c r="B26" s="57"/>
    </x:row>
    <x:row r="27">
      <x:c r="B27" s="57"/>
    </x:row>
    <x:row r="28">
      <x:c r="B28" s="57"/>
    </x:row>
    <x:row r="29">
      <x:c r="B29" s="57"/>
    </x:row>
    <x:row r="30">
      <x:c r="B30" s="57"/>
    </x:row>
    <x:row r="31">
      <x:c r="B31" s="57"/>
    </x:row>
    <x:row r="32">
      <x:c r="B32" s="57"/>
    </x:row>
    <x:row r="33">
      <x:c r="B33" s="57"/>
    </x:row>
    <x:row r="34">
      <x:c r="B34" s="57"/>
    </x:row>
    <x:row r="35">
      <x:c r="B35" s="57"/>
    </x:row>
    <x:row r="36">
      <x:c r="B36" s="57"/>
    </x:row>
    <x:row r="37">
      <x:c r="B37" s="57"/>
    </x:row>
    <x:row r="38">
      <x:c r="B38" s="57"/>
    </x:row>
    <x:row r="39">
      <x:c r="B39" s="57"/>
    </x:row>
    <x:row r="40">
      <x:c r="B40" s="57"/>
    </x:row>
    <x:row r="41">
      <x:c r="B41" s="57"/>
    </x:row>
    <x:row r="42">
      <x:c r="B42" s="57"/>
    </x:row>
    <x:row r="43">
      <x:c r="B43" s="57"/>
    </x:row>
    <x:row r="44">
      <x:c r="B44" s="57"/>
    </x:row>
    <x:row r="45">
      <x:c r="B45" s="57"/>
    </x:row>
    <x:row r="46">
      <x:c r="B46" s="57"/>
    </x:row>
    <x:row r="47">
      <x:c r="B47" s="57"/>
    </x:row>
    <x:row r="48">
      <x:c r="B48" s="57"/>
    </x:row>
    <x:row r="49">
      <x:c r="B49" s="57"/>
    </x:row>
    <x:row r="50">
      <x:c r="B50" s="57"/>
    </x:row>
  </x:sheetData>
  <x:mergeCells>
    <x:mergeCell ref="A1:J1"/>
    <x:mergeCell ref="A2:J2"/>
  </x:mergeCells>
  <x:dataValidations count="1">
    <x:dataValidation type="list" sqref="G5:G50">
      <x:formula1>"Proposed,Locked,Testing,Reopened,Retired"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38" hidden="0" customWidth="1"/>
    <x:col min="4" max="4" width="44" hidden="0" customWidth="1"/>
    <x:col min="5" max="5" width="36" hidden="0" customWidth="1"/>
    <x:col min="6" max="6" width="14" hidden="0" customWidth="1"/>
    <x:col min="7" max="7" width="14" hidden="0" customWidth="1"/>
    <x:col min="8" max="8" width="38" hidden="0" customWidth="1"/>
  </x:cols>
  <x:sheetData>
    <x:row r="1" ht="26" customHeight="1">
      <x:c r="A1" s="196" t="str">
        <x:v>Final Launch Locks</x:v>
      </x:c>
      <x:c r="B1" s="196"/>
      <x:c r="C1" s="196"/>
      <x:c r="D1" s="196"/>
      <x:c r="E1" s="196"/>
      <x:c r="F1" s="196"/>
      <x:c r="G1" s="196"/>
      <x:c r="H1" s="196"/>
      <x:c r="I1" s="28"/>
      <x:c r="J1" s="28"/>
      <x:c r="K1" s="28"/>
    </x:row>
    <x:row r="2" ht="30" customHeight="1">
      <x:c r="A2" s="65" t="str">
        <x:v>Last-mile execution rules added after final review. These keep the go-forward file buildable, sellable, and protected from scope creep.</x:v>
      </x:c>
      <x:c r="B2" s="65"/>
      <x:c r="C2" s="65"/>
      <x:c r="D2" s="65"/>
      <x:c r="E2" s="65"/>
      <x:c r="F2" s="65"/>
      <x:c r="G2" s="65"/>
      <x:c r="H2" s="65"/>
    </x:row>
    <x:row r="4" ht="24" customHeight="1">
      <x:c r="A4" s="70" t="str">
        <x:v>Lock Area</x:v>
      </x:c>
      <x:c r="B4" s="70" t="str">
        <x:v>Final Answer</x:v>
      </x:c>
      <x:c r="C4" s="70" t="str">
        <x:v>Execution Rule</x:v>
      </x:c>
      <x:c r="D4" s="70" t="str">
        <x:v>Build / Demo Implication</x:v>
      </x:c>
      <x:c r="E4" s="70" t="str">
        <x:v>Do Not Build Yet</x:v>
      </x:c>
      <x:c r="F4" s="70" t="str">
        <x:v>Owner</x:v>
      </x:c>
      <x:c r="G4" s="70" t="str">
        <x:v>Status</x:v>
      </x:c>
      <x:c r="H4" s="70" t="str">
        <x:v>Notes</x:v>
      </x:c>
    </x:row>
    <x:row r="5">
      <x:c r="A5" s="31" t="str">
        <x:v>STAY Thin Demo</x:v>
      </x:c>
      <x:c r="B5" s="31" t="str">
        <x:v>Three surfaces only: Guestbook page, Turnover checklist, Owner/Operator view.</x:v>
      </x:c>
      <x:c r="C5" s="31" t="str">
        <x:v>Use Kendall Pond to prove the same governed seed-to-seal path, not to build a full property management system.</x:v>
      </x:c>
      <x:c r="D5" s="31" t="str">
        <x:v>Guestbook is view-only; cleaner checklist is task-bound with photos/status; owner view shows arrivals, checkouts, issues, maintenance, and record summary.</x:v>
      </x:c>
      <x:c r="E5" s="31" t="str">
        <x:v>Channel manager, pricing engine, PMS replacement, guest messaging automation beyond governed reminders.</x:v>
      </x:c>
      <x:c r="F5" s="31" t="str">
        <x:v>Nate</x:v>
      </x:c>
      <x:c r="G5" s="31" t="str">
        <x:v>Locked</x:v>
      </x:c>
      <x:c r="H5" s="31" t="str">
        <x:v>STAY is the visible demo, not the product definition.</x:v>
      </x:c>
    </x:row>
    <x:row r="6">
      <x:c r="A6" s="31" t="str">
        <x:v>Single Pricing</x:v>
      </x:c>
      <x:c r="B6" s="31" t="str">
        <x:v>$29/mo launch assumption.</x:v>
      </x:c>
      <x:c r="C6" s="31" t="str">
        <x:v>Lock internally before pilots so the offer has a real anchor even if pilots are comped or discounted.</x:v>
      </x:c>
      <x:c r="D6" s="31" t="str">
        <x:v>One operator, seed/source profile, housed asset set, housed document set, forms with teeth, starter CaseSpace, sealed output.</x:v>
      </x:c>
      <x:c r="E6" s="31" t="str">
        <x:v>Complex permissions, advanced automations, multi-workspace enterprise logic.</x:v>
      </x:c>
      <x:c r="F6" s="31" t="str">
        <x:v>Nate</x:v>
      </x:c>
      <x:c r="G6" s="31" t="str">
        <x:v>Locked</x:v>
      </x:c>
      <x:c r="H6" s="31" t="str">
        <x:v>Can offer free/discounted pilot without changing the public anchor.</x:v>
      </x:c>
    </x:row>
    <x:row r="7">
      <x:c r="A7" s="31" t="str">
        <x:v>Duo Pricing</x:v>
      </x:c>
      <x:c r="B7" s="31" t="str">
        <x:v>$59/mo launch assumption.</x:v>
      </x:c>
      <x:c r="C7" s="31" t="str">
        <x:v>Duo is the first shared operating surface: two people, roles, tasks, evidence, digest, and closeout.</x:v>
      </x:c>
      <x:c r="D7" s="31" t="str">
        <x:v>Two-user workspace with shared CaseSpace, role surface, decisions, evidence, documents, weekly digest, sealed output.</x:v>
      </x:c>
      <x:c r="E7" s="31" t="str">
        <x:v>Enterprise RBAC, departments, large teams, procurement-grade admin.</x:v>
      </x:c>
      <x:c r="F7" s="31" t="str">
        <x:v>Nate + Allie</x:v>
      </x:c>
      <x:c r="G7" s="31" t="str">
        <x:v>Locked</x:v>
      </x:c>
      <x:c r="H7" s="31" t="str">
        <x:v>Duo is the real test of shared governance.</x:v>
      </x:c>
    </x:row>
    <x:row r="8">
      <x:c r="A8" s="31" t="str">
        <x:v>Team Offer</x:v>
      </x:c>
      <x:c r="B8" s="31" t="str">
        <x:v>$39/seat/mo remains a later planning assumption.</x:v>
      </x:c>
      <x:c r="C8" s="31" t="str">
        <x:v>Do not build Team until at least three paying Duo users ask for it.</x:v>
      </x:c>
      <x:c r="D8" s="31" t="str">
        <x:v>Keep the ladder visible, but do not spend build cycles on Team-specific complexity.</x:v>
      </x:c>
      <x:c r="E8" s="31" t="str">
        <x:v>Team administration, org-wide permissions, bulk provisioning, nested roles.</x:v>
      </x:c>
      <x:c r="F8" s="31" t="str">
        <x:v>Nate</x:v>
      </x:c>
      <x:c r="G8" s="31" t="str">
        <x:v>Guarded</x:v>
      </x:c>
      <x:c r="H8" s="31" t="str">
        <x:v>3x Rule applies to the adoption ladder itself.</x:v>
      </x:c>
    </x:row>
    <x:row r="9">
      <x:c r="A9" s="31" t="str">
        <x:v>MUNI Light vs Full</x:v>
      </x:c>
      <x:c r="B9" s="31" t="str">
        <x:v>MUNI starts with PRR Light and Permit/Bridge demos; Full waits for procurement-grade need.</x:v>
      </x:c>
      <x:c r="C9" s="31" t="str">
        <x:v>Show lawful traceable files without accidentally becoming full municipal case management.</x:v>
      </x:c>
      <x:c r="D9" s="31" t="str">
        <x:v>MUNI PRR Light: request intake, deadline/status, response record, closure packet. MUNI Full: only after paid/procurement path.</x:v>
      </x:c>
      <x:c r="E9" s="31" t="str">
        <x:v>Full CRM, department-wide case management, unlimited workflows.</x:v>
      </x:c>
      <x:c r="F9" s="31" t="str">
        <x:v>Nate</x:v>
      </x:c>
      <x:c r="G9" s="31" t="str">
        <x:v>Guarded</x:v>
      </x:c>
      <x:c r="H9" s="31" t="str">
        <x:v>MUNI entry points are already mapped in long-form workbook; this is the go-forward lock.</x:v>
      </x:c>
    </x:row>
    <x:row r="10">
      <x:c r="A10" s="31" t="str">
        <x:v>Golden Path Priority</x:v>
      </x:c>
      <x:c r="B10" s="31" t="str">
        <x:v>No lane depth before Seed → FORM → CaseSpace → PRR → Evidence → CAL/PRM → Digest → Packet → ARCHIEVE works.</x:v>
      </x:c>
      <x:c r="C10" s="31" t="str">
        <x:v>Every demo skin must prove the same runtime, not bypass it.</x:v>
      </x:c>
      <x:c r="D10" s="31" t="str">
        <x:v>Dashboard Composer / Edge Mapper ships with CaseSpace Factory, not after.</x:v>
      </x:c>
      <x:c r="E10" s="31" t="str">
        <x:v>Lane-specific depth, custom automation, bespoke client features.</x:v>
      </x:c>
      <x:c r="F10" s="31" t="str">
        <x:v>Builder</x:v>
      </x:c>
      <x:c r="G10" s="31" t="str">
        <x:v>Locked</x:v>
      </x:c>
      <x:c r="H10" s="31" t="str">
        <x:v>This is the build constitution.</x:v>
      </x:c>
    </x:row>
    <x:row r="11">
      <x:c r="A11" s="190" t="str">
        <x:v>Verifiable Record</x:v>
      </x:c>
      <x:c r="B11" s="102" t="str">
        <x:v>Canonical Form v1 is a build blocker before signatures.</x:v>
      </x:c>
      <x:c r="C11" s="102" t="str">
        <x:v>Define deterministic bytes for all receipt-bearing objects before claiming independent verification.</x:v>
      </x:c>
      <x:c r="D11" s="102" t="str">
        <x:v>Builder must prove two verifiers produce the same hash for sample objects.</x:v>
      </x:c>
      <x:c r="E11" s="102" t="str">
        <x:v>Lane-specific proof claims before canonicalization.</x:v>
      </x:c>
      <x:c r="F11" s="102" t="str">
        <x:v>Builder</x:v>
      </x:c>
      <x:c r="G11" s="102" t="str">
        <x:v>Locked</x:v>
      </x:c>
      <x:c r="H11" s="103" t="str">
        <x:v>Start with JSON/canonical packet objects; PDF is human output.</x:v>
      </x:c>
    </x:row>
    <x:row r="12">
      <x:c r="A12" s="191" t="str">
        <x:v>Completeness</x:v>
      </x:c>
      <x:c r="B12" s="105" t="str">
        <x:v>Closing CaseReceipt is required for ARCHIEVE.</x:v>
      </x:c>
      <x:c r="C12" s="105" t="str">
        <x:v>Final seal commits to every member receipt, count, order/root, packet hash, and final PRR state.</x:v>
      </x:c>
      <x:c r="D12" s="105" t="str">
        <x:v>Removing one receipt from a sealed packet must fail verification.</x:v>
      </x:c>
      <x:c r="E12" s="105" t="str">
        <x:v>Treating the last PRR event as completeness proof.</x:v>
      </x:c>
      <x:c r="F12" s="105" t="str">
        <x:v>Builder</x:v>
      </x:c>
      <x:c r="G12" s="105" t="str">
        <x:v>Locked</x:v>
      </x:c>
      <x:c r="H12" s="106" t="str">
        <x:v>Record-level proof and set-level proof are different.</x:v>
      </x:c>
    </x:row>
    <x:row r="13">
      <x:c r="A13" s="191" t="str">
        <x:v>Offline Verification</x:v>
      </x:c>
      <x:c r="B13" s="105" t="str">
        <x:v>Verification works without PublicLogic servers.</x:v>
      </x:c>
      <x:c r="C13" s="105" t="str">
        <x:v>Packet + receipts + public keys must be sufficient; verification URL is only a convenience.</x:v>
      </x:c>
      <x:c r="D13" s="105" t="str">
        <x:v>Local/offline verifier can validate sample packet.</x:v>
      </x:c>
      <x:c r="E13" s="105" t="str">
        <x:v>Online-only verifier as core dependency.</x:v>
      </x:c>
      <x:c r="F13" s="105" t="str">
        <x:v>Builder</x:v>
      </x:c>
      <x:c r="G13" s="105" t="str">
        <x:v>Locked</x:v>
      </x:c>
      <x:c r="H13" s="106" t="str">
        <x:v>No-custody promise depends on this.</x:v>
      </x:c>
    </x:row>
    <x:row r="14">
      <x:c r="A14" s="191" t="str">
        <x:v>Keys / Anchors</x:v>
      </x:c>
      <x:c r="B14" s="105" t="str">
        <x:v>Separate runtime, organization, and closure signatures; anchor high-trust seals.</x:v>
      </x:c>
      <x:c r="C14" s="105" t="str">
        <x:v>Signer role must say what each key attests. Anchors help prove existence before compromise/replacement.</x:v>
      </x:c>
      <x:c r="D14" s="105" t="str">
        <x:v>Receipt shows key_id and signature_type; anchor reference when used.</x:v>
      </x:c>
      <x:c r="E14" s="105" t="str">
        <x:v>Single vendor-key trust model for MUNI/PROJECT.</x:v>
      </x:c>
      <x:c r="F14" s="105" t="str">
        <x:v>Nate + Builder</x:v>
      </x:c>
      <x:c r="G14" s="105" t="str">
        <x:v>Locked</x:v>
      </x:c>
      <x:c r="H14" s="106" t="str">
        <x:v>Municipality/customer co-signing is a sales advantage.</x:v>
      </x:c>
    </x:row>
    <x:row r="15">
      <x:c r="A15" s="192" t="str">
        <x:v>ARCHIEVE Bundle</x:v>
      </x:c>
      <x:c r="B15" s="118" t="str">
        <x:v>ARCHIEVE exports canonical objects + receipts + manifest + human packet + signatures.</x:v>
      </x:c>
      <x:c r="C15" s="118" t="str">
        <x:v>Sealed output is a verifiable bundle, not only a PDF.</x:v>
      </x:c>
      <x:c r="D15" s="118" t="str">
        <x:v>Verifier passes using exported bundle only.</x:v>
      </x:c>
      <x:c r="E15" s="118" t="str">
        <x:v>PDF-only export as MVP seal.</x:v>
      </x:c>
      <x:c r="F15" s="118" t="str">
        <x:v>Builder</x:v>
      </x:c>
      <x:c r="G15" s="118" t="str">
        <x:v>Locked</x:v>
      </x:c>
      <x:c r="H15" s="119" t="str">
        <x:v>Human-readable closeout and machine-verifiable proof ship together.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4" hidden="0" customWidth="1"/>
    <x:col min="4" max="4" width="38" hidden="0" customWidth="1"/>
    <x:col min="5" max="5" width="34" hidden="0" customWidth="1"/>
    <x:col min="6" max="6" width="34" hidden="0" customWidth="1"/>
  </x:cols>
  <x:sheetData>
    <x:row r="1" ht="28" customHeight="1">
      <x:c r="A1" s="79" t="str">
        <x:v>Verifiable Record Doctrine</x:v>
      </x:c>
      <x:c r="B1"/>
      <x:c r="C1"/>
      <x:c r="D1"/>
      <x:c r="E1"/>
      <x:c r="F1"/>
      <x:c r="G1"/>
      <x:c r="H1"/>
    </x:row>
    <x:row r="2" ht="36" customHeight="1">
      <x:c r="A2" s="82" t="str">
        <x:v>Trust moves from a place to an object: PJ does not need custody of the store if the record carries proof that exposes alteration and omission.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24" customHeight="1">
      <x:c r="A4" s="87" t="str">
        <x:v>Level</x:v>
      </x:c>
      <x:c r="B4" s="87" t="str">
        <x:v>Question Answered</x:v>
      </x:c>
      <x:c r="C4" s="87" t="str">
        <x:v>PJ Primitive</x:v>
      </x:c>
      <x:c r="D4" s="87" t="str">
        <x:v>Guarantee</x:v>
      </x:c>
      <x:c r="E4" s="87" t="str">
        <x:v>What It Does Not Guarantee</x:v>
      </x:c>
      <x:c r="F4" s="87" t="str">
        <x:v>Acceptance Test</x:v>
      </x:c>
      <x:c r="G4"/>
      <x:c r="H4"/>
    </x:row>
    <x:row r="5">
      <x:c r="A5" s="101" t="str">
        <x:v>1. Identity</x:v>
      </x:c>
      <x:c r="B5" s="102" t="str">
        <x:v>What object is this?</x:v>
      </x:c>
      <x:c r="C5" s="102" t="str">
        <x:v>Stable IDs: receipt_id, case_id, object_id, asset_id, source_profile_id</x:v>
      </x:c>
      <x:c r="D5" s="102" t="str">
        <x:v>The object can be named and linked across tools.</x:v>
      </x:c>
      <x:c r="E5" s="102" t="str">
        <x:v>Truth, completeness, or legal sufficiency.</x:v>
      </x:c>
      <x:c r="F5" s="103" t="str">
        <x:v>Two systems can reference the same object without ambiguity.</x:v>
      </x:c>
      <x:c r="G5"/>
      <x:c r="H5"/>
    </x:row>
    <x:row r="6">
      <x:c r="A6" s="104" t="str">
        <x:v>2. Provenance</x:v>
      </x:c>
      <x:c r="B6" s="105" t="str">
        <x:v>Where did it come from?</x:v>
      </x:c>
      <x:c r="C6" s="105" t="str">
        <x:v>Provenance clamp inside Record Receipt</x:v>
      </x:c>
      <x:c r="D6" s="105" t="str">
        <x:v>Origin, actor, time, retrieval method, source hash, consent basis are captured.</x:v>
      </x:c>
      <x:c r="E6" s="105" t="str">
        <x:v>That the source statement is true.</x:v>
      </x:c>
      <x:c r="F6" s="106" t="str">
        <x:v>Receipt states source and source hash; verifier can see the origin claim.</x:v>
      </x:c>
      <x:c r="G6"/>
      <x:c r="H6"/>
    </x:row>
    <x:row r="7">
      <x:c r="A7" s="104" t="str">
        <x:v>3. Integrity</x:v>
      </x:c>
      <x:c r="B7" s="105" t="str">
        <x:v>Was this object altered?</x:v>
      </x:c>
      <x:c r="C7" s="105" t="str">
        <x:v>Canonical object hash + signature</x:v>
      </x:c>
      <x:c r="D7" s="105" t="str">
        <x:v>Any alteration to the canonical object changes the hash/signature result.</x:v>
      </x:c>
      <x:c r="E7" s="105" t="str">
        <x:v>That the object is the whole CaseSpace.</x:v>
      </x:c>
      <x:c r="F7" s="106" t="str">
        <x:v>Modify one byte in the object; verification fails.</x:v>
      </x:c>
      <x:c r="G7"/>
      <x:c r="H7"/>
    </x:row>
    <x:row r="8">
      <x:c r="A8" s="104" t="str">
        <x:v>4. Completeness</x:v>
      </x:c>
      <x:c r="B8" s="105" t="str">
        <x:v>Is this the entire CaseSpace?</x:v>
      </x:c>
      <x:c r="C8" s="105" t="str">
        <x:v>Closing CaseReceipt manifest with root over all member receipts</x:v>
      </x:c>
      <x:c r="D8" s="105" t="str">
        <x:v>Omission or addition after close changes the set root.</x:v>
      </x:c>
      <x:c r="E8" s="105" t="str">
        <x:v>That every real-world event was captured before close.</x:v>
      </x:c>
      <x:c r="F8" s="106" t="str">
        <x:v>Remove any receipt from a sealed packet; CaseReceipt verification fails.</x:v>
      </x:c>
      <x:c r="G8"/>
      <x:c r="H8"/>
    </x:row>
    <x:row r="9">
      <x:c r="A9" s="104" t="str">
        <x:v>Doctrine</x:v>
      </x:c>
      <x:c r="B9" s="105" t="str">
        <x:v>What does immutability mean now?</x:v>
      </x:c>
      <x:c r="C9" s="105" t="str">
        <x:v>Verifiable record doctrine</x:v>
      </x:c>
      <x:c r="D9" s="105" t="str">
        <x:v>Alteration is exposed, even if the record lives in the customer's tools.</x:v>
      </x:c>
      <x:c r="E9" s="105" t="str">
        <x:v>PJ custody of every copy.</x:v>
      </x:c>
      <x:c r="F9" s="106" t="str">
        <x:v>Packet verifies offline from canonical objects, receipts, manifest, and public keys.</x:v>
      </x:c>
      <x:c r="G9"/>
      <x:c r="H9"/>
    </x:row>
    <x:row r="10">
      <x:c r="A10"/>
      <x:c r="B10"/>
      <x:c r="C10"/>
      <x:c r="D10"/>
      <x:c r="E10"/>
      <x:c r="F10"/>
      <x:c r="G10"/>
      <x:c r="H10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42" hidden="0" customWidth="1"/>
    <x:col min="4" max="4" width="46" hidden="0" customWidth="1"/>
    <x:col min="5" max="5" width="24" hidden="0" customWidth="1"/>
  </x:cols>
  <x:sheetData>
    <x:row r="1" ht="28" customHeight="1">
      <x:c r="A1" s="79" t="str">
        <x:v>PJ Receipt Specification</x:v>
      </x:c>
      <x:c r="B1"/>
      <x:c r="C1"/>
      <x:c r="D1"/>
      <x:c r="E1"/>
      <x:c r="F1"/>
      <x:c r="G1"/>
      <x:c r="H1"/>
    </x:row>
    <x:row r="2" ht="36" customHeight="1">
      <x:c r="A2" s="82" t="str">
        <x:v>One receipt object carries the clamps for provenance, integrity, attestation, and where relevant, packet membership.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24" customHeight="1">
      <x:c r="A4" s="87" t="str">
        <x:v>Receipt Section</x:v>
      </x:c>
      <x:c r="B4" s="87" t="str">
        <x:v>Purpose</x:v>
      </x:c>
      <x:c r="C4" s="87" t="str">
        <x:v>Required Fields</x:v>
      </x:c>
      <x:c r="D4" s="87" t="str">
        <x:v>Notes / Guardrails</x:v>
      </x:c>
      <x:c r="E4" s="87" t="str">
        <x:v>Applies To</x:v>
      </x:c>
      <x:c r="F4"/>
      <x:c r="G4"/>
      <x:c r="H4"/>
    </x:row>
    <x:row r="5">
      <x:c r="A5" s="101" t="str">
        <x:v>Receipt Identity</x:v>
      </x:c>
      <x:c r="B5" s="102" t="str">
        <x:v>Give the receipt an identity independent of storage location.</x:v>
      </x:c>
      <x:c r="C5" s="102" t="str">
        <x:v>receipt_id, receipt_type, version, created_at, case_id, lane, object_id</x:v>
      </x:c>
      <x:c r="D5" s="102" t="str">
        <x:v>Receipt ID must be stable and unique; timestamps use UTC RFC3339 in canonical form.</x:v>
      </x:c>
      <x:c r="E5" s="103" t="str">
        <x:v>All receipts</x:v>
      </x:c>
      <x:c r="F5"/>
      <x:c r="G5"/>
      <x:c r="H5"/>
    </x:row>
    <x:row r="6">
      <x:c r="A6" s="104" t="str">
        <x:v>Subject</x:v>
      </x:c>
      <x:c r="B6" s="105" t="str">
        <x:v>Anchor the receipt to the governed thing.</x:v>
      </x:c>
      <x:c r="C6" s="105" t="str">
        <x:v>subject_type, subject_name, asset_id, source_profile_id, case_id</x:v>
      </x:c>
      <x:c r="D6" s="105" t="str">
        <x:v>Subject points to the matter, property, project, request, document, or packet.</x:v>
      </x:c>
      <x:c r="E6" s="106" t="str">
        <x:v>Origin, event, evidence, decision, seal</x:v>
      </x:c>
      <x:c r="F6"/>
      <x:c r="G6"/>
      <x:c r="H6"/>
    </x:row>
    <x:row r="7">
      <x:c r="A7" s="104" t="str">
        <x:v>Provenance Clamp</x:v>
      </x:c>
      <x:c r="B7" s="105" t="str">
        <x:v>Say where the object came from.</x:v>
      </x:c>
      <x:c r="C7" s="105" t="str">
        <x:v>source_type, source_name, source_uri_hash, retrieved_at, retrieved_by, retrieval_method, raw_hash, normalized_hash, consent_basis</x:v>
      </x:c>
      <x:c r="D7" s="105" t="str">
        <x:v>Raw hash and normalized hash are separate. PJ attests existence-at-time, not truth.</x:v>
      </x:c>
      <x:c r="E7" s="106" t="str">
        <x:v>Origin, imported evidence, source profile</x:v>
      </x:c>
      <x:c r="F7"/>
      <x:c r="G7"/>
      <x:c r="H7"/>
    </x:row>
    <x:row r="8">
      <x:c r="A8" s="104" t="str">
        <x:v>Canonical Object Hash</x:v>
      </x:c>
      <x:c r="B8" s="105" t="str">
        <x:v>Commit to the exact bytes being signed.</x:v>
      </x:c>
      <x:c r="C8" s="105" t="str">
        <x:v>canonical_form_version, object_hash, canonical_object_path</x:v>
      </x:c>
      <x:c r="D8" s="105" t="str">
        <x:v>Packet must include the canonical representation itself; hashes alone are not self-contained.</x:v>
      </x:c>
      <x:c r="E8" s="106" t="str">
        <x:v>All object receipts</x:v>
      </x:c>
      <x:c r="F8"/>
      <x:c r="G8"/>
      <x:c r="H8"/>
    </x:row>
    <x:row r="9">
      <x:c r="A9" s="104" t="str">
        <x:v>PRR Event Link</x:v>
      </x:c>
      <x:c r="B9" s="105" t="str">
        <x:v>Tie receipt to the recordstream.</x:v>
      </x:c>
      <x:c r="C9" s="105" t="str">
        <x:v>event_id, event_type, actor, action, event_time, previous_event_hash</x:v>
      </x:c>
      <x:c r="D9" s="105" t="str">
        <x:v>Append-only table is helpful when PJ owns storage; portable proof is the hash/signature chain.</x:v>
      </x:c>
      <x:c r="E9" s="106" t="str">
        <x:v>Event receipts</x:v>
      </x:c>
      <x:c r="F9"/>
      <x:c r="G9"/>
      <x:c r="H9"/>
    </x:row>
    <x:row r="10">
      <x:c r="A10" s="104" t="str">
        <x:v>Evidence Manifest Item</x:v>
      </x:c>
      <x:c r="B10" s="105" t="str">
        <x:v>Identify proof included in a CaseSpace.</x:v>
      </x:c>
      <x:c r="C10" s="105" t="str">
        <x:v>evidence_id, label, type, stored_at, content_hash, added_by, added_at</x:v>
      </x:c>
      <x:c r="D10" s="105" t="str">
        <x:v>PJ does not need to own the file; it must know what file existed and its content hash.</x:v>
      </x:c>
      <x:c r="E10" s="106" t="str">
        <x:v>Evidence receipts, packets</x:v>
      </x:c>
      <x:c r="F10"/>
      <x:c r="G10"/>
      <x:c r="H10"/>
    </x:row>
    <x:row r="11">
      <x:c r="A11" s="104" t="str">
        <x:v>Decision Manifest Item</x:v>
      </x:c>
      <x:c r="B11" s="105" t="str">
        <x:v>Preserve governance decisions.</x:v>
      </x:c>
      <x:c r="C11" s="105" t="str">
        <x:v>decision_id, decision, decided_by, authority_basis, basis_evidence_hashes, decided_at</x:v>
      </x:c>
      <x:c r="D11" s="105" t="str">
        <x:v>This is the governance layer: what was decided, by whom, and based on what.</x:v>
      </x:c>
      <x:c r="E11" s="106" t="str">
        <x:v>Decision receipts, packets</x:v>
      </x:c>
      <x:c r="F11"/>
      <x:c r="G11"/>
      <x:c r="H11"/>
    </x:row>
    <x:row r="12">
      <x:c r="A12" s="104" t="str">
        <x:v>CAL / PRM Result</x:v>
      </x:c>
      <x:c r="B12" s="105" t="str">
        <x:v>Prove checks ran before advancement or closeout.</x:v>
      </x:c>
      <x:c r="C12" s="105" t="str">
        <x:v>check_id, check_type, status, checked_at, checked_by, missing_items, authority_note</x:v>
      </x:c>
      <x:c r="D12" s="105" t="str">
        <x:v>Checks are explicit, not magical. They record basis and readiness.</x:v>
      </x:c>
      <x:c r="E12" s="106" t="str">
        <x:v>Gate/check receipts</x:v>
      </x:c>
      <x:c r="F12"/>
      <x:c r="G12"/>
      <x:c r="H12"/>
    </x:row>
    <x:row r="13">
      <x:c r="A13" s="104" t="str">
        <x:v>Packet Manifest</x:v>
      </x:c>
      <x:c r="B13" s="105" t="str">
        <x:v>Say exactly what was sealed.</x:v>
      </x:c>
      <x:c r="C13" s="105" t="str">
        <x:v>packet_id, packet_type, packet_hash, included_objects, human_readable_file</x:v>
      </x:c>
      <x:c r="D13" s="105" t="str">
        <x:v>A packet is not an export; it is a manifest-backed artifact.</x:v>
      </x:c>
      <x:c r="E13" s="106" t="str">
        <x:v>Packet and seal receipts</x:v>
      </x:c>
      <x:c r="F13"/>
      <x:c r="G13"/>
      <x:c r="H13"/>
    </x:row>
    <x:row r="14">
      <x:c r="A14" s="104" t="str">
        <x:v>Signature Block</x:v>
      </x:c>
      <x:c r="B14" s="105" t="str">
        <x:v>Attach verifiable attestation.</x:v>
      </x:c>
      <x:c r="C14" s="105" t="str">
        <x:v>signature_type, signed_by, key_id, algorithm, signed_at, signature</x:v>
      </x:c>
      <x:c r="D14" s="105" t="str">
        <x:v>Use separate meanings: PJ assembly, organization official record, authorized closure.</x:v>
      </x:c>
      <x:c r="E14" s="106" t="str">
        <x:v>All signed receipts</x:v>
      </x:c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</x:sheetData>
  <x:mergeCells>
    <x:mergeCell ref="A1:H1"/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6" hidden="0" customWidth="1"/>
    <x:col min="4" max="4" width="38" hidden="0" customWidth="1"/>
    <x:col min="5" max="5" width="14" hidden="0" customWidth="1"/>
  </x:cols>
  <x:sheetData>
    <x:row r="1" ht="28" customHeight="1">
      <x:c r="A1" s="79" t="str">
        <x:v>PJ Canonical Form v1</x:v>
      </x:c>
      <x:c r="B1"/>
      <x:c r="C1"/>
      <x:c r="D1"/>
      <x:c r="E1"/>
      <x:c r="F1"/>
      <x:c r="G1"/>
      <x:c r="H1"/>
    </x:row>
    <x:row r="2" ht="36" customHeight="1">
      <x:c r="A2" s="82" t="str">
        <x:v>Canonicalization is the deliverable that makes independent verification real. The bytes must be deterministic before hashes or signatures matter.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24" customHeight="1">
      <x:c r="A4" s="87" t="str">
        <x:v>Rule Area</x:v>
      </x:c>
      <x:c r="B4" s="87" t="str">
        <x:v>PJ Canonical Form v1 Rule</x:v>
      </x:c>
      <x:c r="C4" s="87" t="str">
        <x:v>Why It Matters</x:v>
      </x:c>
      <x:c r="D4" s="87" t="str">
        <x:v>Verifier Test</x:v>
      </x:c>
      <x:c r="E4" s="87" t="str">
        <x:v>Status</x:v>
      </x:c>
      <x:c r="F4"/>
      <x:c r="G4"/>
      <x:c r="H4"/>
    </x:row>
    <x:row r="5">
      <x:c r="A5" s="101" t="str">
        <x:v>Encoding</x:v>
      </x:c>
      <x:c r="B5" s="102" t="str">
        <x:v>UTF-8 only</x:v>
      </x:c>
      <x:c r="C5" s="102" t="str">
        <x:v>All parties must hash the same byte stream.</x:v>
      </x:c>
      <x:c r="D5" s="102" t="str">
        <x:v>Non-UTF-8 input is converted or rejected before receipt.</x:v>
      </x:c>
      <x:c r="E5" s="103" t="str">
        <x:v>Locked</x:v>
      </x:c>
      <x:c r="F5"/>
      <x:c r="G5"/>
      <x:c r="H5"/>
    </x:row>
    <x:row r="6">
      <x:c r="A6" s="104" t="str">
        <x:v>Unicode</x:v>
      </x:c>
      <x:c r="B6" s="105" t="str">
        <x:v>Normalize all text to NFC</x:v>
      </x:c>
      <x:c r="C6" s="105" t="str">
        <x:v>Avoid visually identical strings hashing differently.</x:v>
      </x:c>
      <x:c r="D6" s="105" t="str">
        <x:v>Composed/decomposed characters hash the same after canonicalization.</x:v>
      </x:c>
      <x:c r="E6" s="106" t="str">
        <x:v>Locked</x:v>
      </x:c>
      <x:c r="F6"/>
      <x:c r="G6"/>
      <x:c r="H6"/>
    </x:row>
    <x:row r="7">
      <x:c r="A7" s="104" t="str">
        <x:v>Line Endings</x:v>
      </x:c>
      <x:c r="B7" s="105" t="str">
        <x:v>LF only</x:v>
      </x:c>
      <x:c r="C7" s="105" t="str">
        <x:v>Windows/Mac line endings cannot change hashes.</x:v>
      </x:c>
      <x:c r="D7" s="105" t="str">
        <x:v>CRLF input produces LF canonical bytes.</x:v>
      </x:c>
      <x:c r="E7" s="106" t="str">
        <x:v>Locked</x:v>
      </x:c>
      <x:c r="F7"/>
      <x:c r="G7"/>
      <x:c r="H7"/>
    </x:row>
    <x:row r="8">
      <x:c r="A8" s="104" t="str">
        <x:v>Timestamps</x:v>
      </x:c>
      <x:c r="B8" s="105" t="str">
        <x:v>UTC RFC3339 with Z suffix; no local offsets in canonical bytes</x:v>
      </x:c>
      <x:c r="C8" s="105" t="str">
        <x:v>Time must sort and verify consistently.</x:v>
      </x:c>
      <x:c r="D8" s="105" t="str">
        <x:v>2026-06-28T14:15:00Z format only.</x:v>
      </x:c>
      <x:c r="E8" s="106" t="str">
        <x:v>Locked</x:v>
      </x:c>
      <x:c r="F8"/>
      <x:c r="G8"/>
      <x:c r="H8"/>
    </x:row>
    <x:row r="9">
      <x:c r="A9" s="104" t="str">
        <x:v>JSON Keys</x:v>
      </x:c>
      <x:c r="B9" s="105" t="str">
        <x:v>Deterministic lexical key ordering</x:v>
      </x:c>
      <x:c r="C9" s="105" t="str">
        <x:v>Key order cannot change hash.</x:v>
      </x:c>
      <x:c r="D9" s="105" t="str">
        <x:v>Reordered JSON input creates identical canonical hash.</x:v>
      </x:c>
      <x:c r="E9" s="106" t="str">
        <x:v>Locked</x:v>
      </x:c>
      <x:c r="F9"/>
      <x:c r="G9"/>
      <x:c r="H9"/>
    </x:row>
    <x:row r="10">
      <x:c r="A10" s="104" t="str">
        <x:v>Whitespace</x:v>
      </x:c>
      <x:c r="B10" s="105" t="str">
        <x:v>No insignificant whitespace in canonical JSON</x:v>
      </x:c>
      <x:c r="C10" s="105" t="str">
        <x:v>Pretty-printing cannot affect verification.</x:v>
      </x:c>
      <x:c r="D10" s="105" t="str">
        <x:v>Minified and pretty JSON canonicalize identically.</x:v>
      </x:c>
      <x:c r="E10" s="106" t="str">
        <x:v>Locked</x:v>
      </x:c>
      <x:c r="F10"/>
      <x:c r="G10"/>
      <x:c r="H10"/>
    </x:row>
    <x:row r="11">
      <x:c r="A11" s="104" t="str">
        <x:v>Numbers</x:v>
      </x:c>
      <x:c r="B11" s="105" t="str">
        <x:v>Fixed numeric encoding; no trailing zeros unless integer required</x:v>
      </x:c>
      <x:c r="C11" s="105" t="str">
        <x:v>1, 1.0, and 1.00 cannot ambiguously hash differently.</x:v>
      </x:c>
      <x:c r="D11" s="105" t="str">
        <x:v>Numeric cases are normalized or explicitly string-typed.</x:v>
      </x:c>
      <x:c r="E11" s="106" t="str">
        <x:v>Locked</x:v>
      </x:c>
      <x:c r="F11"/>
      <x:c r="G11"/>
      <x:c r="H11"/>
    </x:row>
    <x:row r="12">
      <x:c r="A12" s="104" t="str">
        <x:v>Booleans / Null</x:v>
      </x:c>
      <x:c r="B12" s="105" t="str">
        <x:v>Lowercase true, false, null</x:v>
      </x:c>
      <x:c r="C12" s="105" t="str">
        <x:v>Avoid implementation-specific serialization.</x:v>
      </x:c>
      <x:c r="D12" s="105" t="str">
        <x:v>Boolean/null examples hash consistently.</x:v>
      </x:c>
      <x:c r="E12" s="106" t="str">
        <x:v>Locked</x:v>
      </x:c>
      <x:c r="F12"/>
      <x:c r="G12"/>
      <x:c r="H12"/>
    </x:row>
    <x:row r="13">
      <x:c r="A13" s="104" t="str">
        <x:v>Arrays</x:v>
      </x:c>
      <x:c r="B13" s="105" t="str">
        <x:v>Preserve semantic order; define sort field for unordered sets</x:v>
      </x:c>
      <x:c r="C13" s="105" t="str">
        <x:v>Receipts and manifests need stable ordering.</x:v>
      </x:c>
      <x:c r="D13" s="105" t="str">
        <x:v>Set-like arrays sort by object_id or hash.</x:v>
      </x:c>
      <x:c r="E13" s="106" t="str">
        <x:v>Locked</x:v>
      </x:c>
      <x:c r="F13"/>
      <x:c r="G13"/>
      <x:c r="H13"/>
    </x:row>
    <x:row r="14">
      <x:c r="A14" s="104" t="str">
        <x:v>Binary</x:v>
      </x:c>
      <x:c r="B14" s="105" t="str">
        <x:v>Base64url without padding for embedded binary references</x:v>
      </x:c>
      <x:c r="C14" s="105" t="str">
        <x:v>Binary proof must be deterministic and URL-safe.</x:v>
      </x:c>
      <x:c r="D14" s="105" t="str">
        <x:v>Same binary produces same base64url string.</x:v>
      </x:c>
      <x:c r="E14" s="106" t="str">
        <x:v>Locked</x:v>
      </x:c>
      <x:c r="F14"/>
      <x:c r="G14"/>
      <x:c r="H14"/>
    </x:row>
    <x:row r="15">
      <x:c r="A15" s="104" t="str">
        <x:v>Source Objects</x:v>
      </x:c>
      <x:c r="B15" s="105" t="str">
        <x:v>Packet must carry canonical representation for every committed object</x:v>
      </x:c>
      <x:c r="C15" s="105" t="str">
        <x:v>Offline verification fails if canonical bytes live only in external tools.</x:v>
      </x:c>
      <x:c r="D15" s="105" t="str">
        <x:v>Verifier can run without Drive/Gmail/Airbnb access.</x:v>
      </x:c>
      <x:c r="E15" s="106" t="str">
        <x:v>Locked</x:v>
      </x:c>
      <x:c r="F15"/>
      <x:c r="G15"/>
      <x:c r="H15"/>
    </x:row>
    <x:row r="16">
      <x:c r="A16" s="104" t="str">
        <x:v>Human PDFs</x:v>
      </x:c>
      <x:c r="B16" s="105" t="str">
        <x:v>PDF is an output; canonical object is the proof source</x:v>
      </x:c>
      <x:c r="C16" s="105" t="str">
        <x:v>PDF rendering can vary; canonical object drives verification.</x:v>
      </x:c>
      <x:c r="D16" s="105" t="str">
        <x:v>PDF hash is optional; canonical packet object is required.</x:v>
      </x:c>
      <x:c r="E16" s="106" t="str">
        <x:v>Locked</x:v>
      </x:c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</x:sheetData>
  <x:mergeCells>
    <x:mergeCell ref="A1:H1"/>
    <x:mergeCell ref="A2:H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2" hidden="0" customWidth="1"/>
    <x:col min="4" max="4" width="44" hidden="0" customWidth="1"/>
    <x:col min="5" max="5" width="38" hidden="0" customWidth="1"/>
  </x:cols>
  <x:sheetData>
    <x:row r="1" ht="28" customHeight="1">
      <x:c r="A1" s="79" t="str">
        <x:v>Closing CaseReceipt Manifest</x:v>
      </x:c>
      <x:c r="B1"/>
      <x:c r="C1"/>
      <x:c r="D1"/>
      <x:c r="E1"/>
      <x:c r="F1"/>
      <x:c r="G1"/>
      <x:c r="H1"/>
    </x:row>
    <x:row r="2" ht="36" customHeight="1">
      <x:c r="A2" s="82" t="str">
        <x:v>Record receipts stop alteration. The closing CaseReceipt stops silent omission by committing to the complete receipt set at close.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24" customHeight="1">
      <x:c r="A4" s="87" t="str">
        <x:v>Manifest Component</x:v>
      </x:c>
      <x:c r="B4" s="87" t="str">
        <x:v>What It Commits To</x:v>
      </x:c>
      <x:c r="C4" s="87" t="str">
        <x:v>Required Data</x:v>
      </x:c>
      <x:c r="D4" s="87" t="str">
        <x:v>Completeness / Omission Protection</x:v>
      </x:c>
      <x:c r="E4" s="87" t="str">
        <x:v>Verifier Walk</x:v>
      </x:c>
      <x:c r="F4"/>
      <x:c r="G4"/>
      <x:c r="H4"/>
    </x:row>
    <x:row r="5">
      <x:c r="A5" s="101" t="str">
        <x:v>CaseReceipt ID</x:v>
      </x:c>
      <x:c r="B5" s="102" t="str">
        <x:v>The closing receipt itself</x:v>
      </x:c>
      <x:c r="C5" s="102" t="str">
        <x:v>case_receipt_id, case_id, close_timestamp, canonical_form_version</x:v>
      </x:c>
      <x:c r="D5" s="102" t="str">
        <x:v>Prevents ambiguity about which closure is being verified.</x:v>
      </x:c>
      <x:c r="E5" s="103" t="str">
        <x:v>Read CaseReceipt and verify its own signature.</x:v>
      </x:c>
      <x:c r="F5"/>
      <x:c r="G5"/>
      <x:c r="H5"/>
    </x:row>
    <x:row r="6">
      <x:c r="A6" s="104" t="str">
        <x:v>Receipt Inventory</x:v>
      </x:c>
      <x:c r="B6" s="105" t="str">
        <x:v>Every member receipt in the sealed CaseSpace</x:v>
      </x:c>
      <x:c r="C6" s="105" t="str">
        <x:v>receipt_id, receipt_type, object_id, receipt_hash, event_time, sequence_index</x:v>
      </x:c>
      <x:c r="D6" s="105" t="str">
        <x:v>Removing or adding a receipt changes count and root.</x:v>
      </x:c>
      <x:c r="E6" s="106" t="str">
        <x:v>Recompute each receipt hash and compare inventory.</x:v>
      </x:c>
      <x:c r="F6"/>
      <x:c r="G6"/>
      <x:c r="H6"/>
    </x:row>
    <x:row r="7">
      <x:c r="A7" s="104" t="str">
        <x:v>Ordered Root</x:v>
      </x:c>
      <x:c r="B7" s="105" t="str">
        <x:v>Hash root over the full receipt set</x:v>
      </x:c>
      <x:c r="C7" s="105" t="str">
        <x:v>merkle_root or hash_of_all_hashes, count, ordering_rule</x:v>
      </x:c>
      <x:c r="D7" s="105" t="str">
        <x:v>Detects truncation, omission, and post-close insertion.</x:v>
      </x:c>
      <x:c r="E7" s="106" t="str">
        <x:v>Sort receipts by ordering rule and rebuild root.</x:v>
      </x:c>
      <x:c r="F7"/>
      <x:c r="G7"/>
      <x:c r="H7"/>
    </x:row>
    <x:row r="8">
      <x:c r="A8" s="104" t="str">
        <x:v>Object Type Counts</x:v>
      </x:c>
      <x:c r="B8" s="105" t="str">
        <x:v>Expected counts by object family</x:v>
      </x:c>
      <x:c r="C8" s="105" t="str">
        <x:v>origin_count, event_count, evidence_count, decision_count, check_count, packet_count</x:v>
      </x:c>
      <x:c r="D8" s="105" t="str">
        <x:v>Gives humans and verifiers a quick anomaly check.</x:v>
      </x:c>
      <x:c r="E8" s="106" t="str">
        <x:v>Compare manifest counts to actual included receipts.</x:v>
      </x:c>
      <x:c r="F8"/>
      <x:c r="G8"/>
      <x:c r="H8"/>
    </x:row>
    <x:row r="9">
      <x:c r="A9" s="104" t="str">
        <x:v>Packet Binding</x:v>
      </x:c>
      <x:c r="B9" s="105" t="str">
        <x:v>The human-readable packet and canonical packet object</x:v>
      </x:c>
      <x:c r="C9" s="105" t="str">
        <x:v>packet_hash, canonical_packet_hash, file_name, included_sections</x:v>
      </x:c>
      <x:c r="D9" s="105" t="str">
        <x:v>Packet cannot be swapped without detection.</x:v>
      </x:c>
      <x:c r="E9" s="106" t="str">
        <x:v>Hash packet canonical object and compare.</x:v>
      </x:c>
      <x:c r="F9"/>
      <x:c r="G9"/>
      <x:c r="H9"/>
    </x:row>
    <x:row r="10">
      <x:c r="A10" s="104" t="str">
        <x:v>Final PRR State</x:v>
      </x:c>
      <x:c r="B10" s="105" t="str">
        <x:v>The last known event and state at close</x:v>
      </x:c>
      <x:c r="C10" s="105" t="str">
        <x:v>first_event_hash, last_event_hash, event_count, last_state</x:v>
      </x:c>
      <x:c r="D10" s="105" t="str">
        <x:v>Tail truncation after close is exposed by mismatch with CaseReceipt.</x:v>
      </x:c>
      <x:c r="E10" s="106" t="str">
        <x:v>Compare PRR chain to inventory/root.</x:v>
      </x:c>
      <x:c r="F10"/>
      <x:c r="G10"/>
      <x:c r="H10"/>
    </x:row>
    <x:row r="11">
      <x:c r="A11" s="104" t="str">
        <x:v>CAL/PRM Closure Status</x:v>
      </x:c>
      <x:c r="B11" s="105" t="str">
        <x:v>Authority and readiness checks used to close</x:v>
      </x:c>
      <x:c r="C11" s="105" t="str">
        <x:v>cal_status, prm_status, missing_items, closer_role</x:v>
      </x:c>
      <x:c r="D11" s="105" t="str">
        <x:v>Close cannot be represented as ready if checks were missing.</x:v>
      </x:c>
      <x:c r="E11" s="106" t="str">
        <x:v>Verify check receipts are present and passed/waived with basis.</x:v>
      </x:c>
      <x:c r="F11"/>
      <x:c r="G11"/>
      <x:c r="H11"/>
    </x:row>
    <x:row r="12">
      <x:c r="A12" s="104" t="str">
        <x:v>Signature Set</x:v>
      </x:c>
      <x:c r="B12" s="105" t="str">
        <x:v>Who attested what</x:v>
      </x:c>
      <x:c r="C12" s="105" t="str">
        <x:v>pj_signature, org_signature, closure_signature, key_ids</x:v>
      </x:c>
      <x:c r="D12" s="105" t="str">
        <x:v>Separates assembly proof from official/customer acceptance.</x:v>
      </x:c>
      <x:c r="E12" s="106" t="str">
        <x:v>Verify each signature against published keys.</x:v>
      </x:c>
      <x:c r="F12"/>
      <x:c r="G12"/>
      <x:c r="H12"/>
    </x:row>
    <x:row r="13">
      <x:c r="A13" s="104" t="str">
        <x:v>Anchor Reference</x:v>
      </x:c>
      <x:c r="B13" s="105" t="str">
        <x:v>External time/order commitment</x:v>
      </x:c>
      <x:c r="C13" s="105" t="str">
        <x:v>anchor_id, anchor_period, published_root, publication_reference</x:v>
      </x:c>
      <x:c r="D13" s="105" t="str">
        <x:v>Prevents silent replacement after signing and supports post-compromise analysis.</x:v>
      </x:c>
      <x:c r="E13" s="106" t="str">
        <x:v>Compare CaseReceipt root to anchor entry when available.</x:v>
      </x:c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</x:sheetData>
  <x:mergeCells>
    <x:mergeCell ref="A1:H1"/>
    <x:mergeCell ref="A2:H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0" hidden="0" customWidth="1"/>
    <x:col min="4" max="4" width="38" hidden="0" customWidth="1"/>
    <x:col min="5" max="5" width="38" hidden="0" customWidth="1"/>
  </x:cols>
  <x:sheetData>
    <x:row r="1" ht="28" customHeight="1">
      <x:c r="A1" s="79" t="str">
        <x:v>Keys, Co-Signing, and Trust Anchors</x:v>
      </x:c>
      <x:c r="B1"/>
      <x:c r="C1"/>
      <x:c r="D1"/>
      <x:c r="E1"/>
      <x:c r="F1"/>
      <x:c r="G1"/>
      <x:c r="H1"/>
    </x:row>
    <x:row r="2" ht="36" customHeight="1">
      <x:c r="A2" s="82" t="str">
        <x:v>The custody question moves from who holds the data to who holds the keys and what proves the receipt existed before a compromise.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24" customHeight="1">
      <x:c r="A4" s="87" t="str">
        <x:v>Trust Element</x:v>
      </x:c>
      <x:c r="B4" s="87" t="str">
        <x:v>Who Holds / Issues</x:v>
      </x:c>
      <x:c r="C4" s="87" t="str">
        <x:v>What It Attests</x:v>
      </x:c>
      <x:c r="D4" s="87" t="str">
        <x:v>Risk It Mitigates</x:v>
      </x:c>
      <x:c r="E4" s="87" t="str">
        <x:v>MVP Rule</x:v>
      </x:c>
      <x:c r="F4"/>
      <x:c r="G4"/>
      <x:c r="H4"/>
    </x:row>
    <x:row r="5">
      <x:c r="A5" s="101" t="str">
        <x:v>Runtime Key</x:v>
      </x:c>
      <x:c r="B5" s="102" t="str">
        <x:v>PuddleJumper / PublicLogic runtime</x:v>
      </x:c>
      <x:c r="C5" s="102" t="str">
        <x:v>PJ assembled this receipt or packet from stated canonical objects and sources.</x:v>
      </x:c>
      <x:c r="D5" s="102" t="str">
        <x:v>Unclear assembly provenance.</x:v>
      </x:c>
      <x:c r="E5" s="103" t="str">
        <x:v>Use for runtime assembly only; never pretend it is customer acceptance.</x:v>
      </x:c>
      <x:c r="F5"/>
      <x:c r="G5"/>
      <x:c r="H5"/>
    </x:row>
    <x:row r="6">
      <x:c r="A6" s="104" t="str">
        <x:v>Organization Key</x:v>
      </x:c>
      <x:c r="B6" s="105" t="str">
        <x:v>Customer organization, municipality, owner, or project sponsor</x:v>
      </x:c>
      <x:c r="C6" s="105" t="str">
        <x:v>This represents our official/customer record or accepted packet.</x:v>
      </x:c>
      <x:c r="D6" s="105" t="str">
        <x:v>Vendor-only trust and hidden custody dependency.</x:v>
      </x:c>
      <x:c r="E6" s="106" t="str">
        <x:v>Prefer customer co-signing where stakes justify it.</x:v>
      </x:c>
      <x:c r="F6"/>
      <x:c r="G6"/>
      <x:c r="H6"/>
    </x:row>
    <x:row r="7">
      <x:c r="A7" s="104" t="str">
        <x:v>Closure Key</x:v>
      </x:c>
      <x:c r="B7" s="105" t="str">
        <x:v>Authorized closer: clerk, owner/operator, sponsor, provider</x:v>
      </x:c>
      <x:c r="C7" s="105" t="str">
        <x:v>I accept/close this matter in this role at this time.</x:v>
      </x:c>
      <x:c r="D7" s="105" t="str">
        <x:v>Unclear authority at close.</x:v>
      </x:c>
      <x:c r="E7" s="106" t="str">
        <x:v>Capture role and authority basis with the signature.</x:v>
      </x:c>
      <x:c r="F7"/>
      <x:c r="G7"/>
      <x:c r="H7"/>
    </x:row>
    <x:row r="8">
      <x:c r="A8" s="104" t="str">
        <x:v>Key Registry</x:v>
      </x:c>
      <x:c r="B8" s="105" t="str">
        <x:v>Published key list controlled by issuer</x:v>
      </x:c>
      <x:c r="C8" s="105" t="str">
        <x:v>Which keys are valid, retired, revoked, or rotated.</x:v>
      </x:c>
      <x:c r="D8" s="105" t="str">
        <x:v>Unknown signer or stale key.</x:v>
      </x:c>
      <x:c r="E8" s="106" t="str">
        <x:v>Receipt must include key_id and verifier must check key status.</x:v>
      </x:c>
      <x:c r="F8"/>
      <x:c r="G8"/>
      <x:c r="H8"/>
    </x:row>
    <x:row r="9">
      <x:c r="A9" s="104" t="str">
        <x:v>Trust Anchor</x:v>
      </x:c>
      <x:c r="B9" s="105" t="str">
        <x:v>Published daily/weekly/monthly root; ideally customer or public location when feasible</x:v>
      </x:c>
      <x:c r="C9" s="105" t="str">
        <x:v>This CaseReceipt root existed by this publication time.</x:v>
      </x:c>
      <x:c r="D9" s="105" t="str">
        <x:v>Tail omission, post-close replacement, and key-compromise ambiguity.</x:v>
      </x:c>
      <x:c r="E9" s="106" t="str">
        <x:v>Verification works without anchor, but high-trust closeouts should anchor.</x:v>
      </x:c>
      <x:c r="F9"/>
      <x:c r="G9"/>
      <x:c r="H9"/>
    </x:row>
    <x:row r="10">
      <x:c r="A10" s="104" t="str">
        <x:v>Offline Verification</x:v>
      </x:c>
      <x:c r="B10" s="105" t="str">
        <x:v>Any verifier with packet + receipts + public keys</x:v>
      </x:c>
      <x:c r="C10" s="105" t="str">
        <x:v>The record can be checked without PublicLogic servers.</x:v>
      </x:c>
      <x:c r="D10" s="105" t="str">
        <x:v>Verification URL re-imports custody dependency.</x:v>
      </x:c>
      <x:c r="E10" s="106" t="str">
        <x:v>Online verifier is convenience only; offline must pass.</x:v>
      </x:c>
      <x:c r="F10"/>
      <x:c r="G10"/>
      <x:c r="H10"/>
    </x:row>
    <x:row r="11">
      <x:c r="A11" s="104" t="str">
        <x:v>Compromise Response</x:v>
      </x:c>
      <x:c r="B11" s="105" t="str">
        <x:v>Issuer/key owner</x:v>
      </x:c>
      <x:c r="C11" s="105" t="str">
        <x:v>Key was revoked/rotated and signatures after boundary are suspect.</x:v>
      </x:c>
      <x:c r="D11" s="105" t="str">
        <x:v>Forged clean receipts after key compromise.</x:v>
      </x:c>
      <x:c r="E11" s="106" t="str">
        <x:v>Anchor timestamps help distinguish before vs after compromise.</x:v>
      </x:c>
      <x:c r="F11"/>
      <x:c r="G11"/>
      <x:c r="H11"/>
    </x:row>
    <x:row r="12">
      <x:c r="A12" s="104" t="str">
        <x:v>Dual Attestation</x:v>
      </x:c>
      <x:c r="B12" s="105" t="str">
        <x:v>PJ + customer/authorized closer</x:v>
      </x:c>
      <x:c r="C12" s="105" t="str">
        <x:v>Runtime assembly and official acceptance are separate claims.</x:v>
      </x:c>
      <x:c r="D12" s="105" t="str">
        <x:v>Single-key overclaim.</x:v>
      </x:c>
      <x:c r="E12" s="106" t="str">
        <x:v>Default for MUNI/PROJECT; optional for low-stakes STAY/BIZ.</x:v>
      </x:c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</x:sheetData>
  <x:mergeCells>
    <x:mergeCell ref="A1:H1"/>
    <x:mergeCell ref="A2:H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4" hidden="0" customWidth="1"/>
    <x:col min="4" max="4" width="34" hidden="0" customWidth="1"/>
    <x:col min="5" max="5" width="36" hidden="0" customWidth="1"/>
  </x:cols>
  <x:sheetData>
    <x:row r="1" ht="28" customHeight="1">
      <x:c r="A1" s="79" t="str">
        <x:v>Offline Verifier Walk</x:v>
      </x:c>
      <x:c r="B1"/>
      <x:c r="C1"/>
      <x:c r="D1"/>
      <x:c r="E1"/>
      <x:c r="F1"/>
      <x:c r="G1"/>
      <x:c r="H1"/>
    </x:row>
    <x:row r="2" ht="36" customHeight="1">
      <x:c r="A2" s="82" t="str">
        <x:v>Verification must work offline from packet + receipts + public keys. A URL can help, but it cannot be required.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24" customHeight="1">
      <x:c r="A4" s="87" t="str">
        <x:v>Verification Step</x:v>
      </x:c>
      <x:c r="B4" s="87" t="str">
        <x:v>Input Required</x:v>
      </x:c>
      <x:c r="C4" s="87" t="str">
        <x:v>Action</x:v>
      </x:c>
      <x:c r="D4" s="87" t="str">
        <x:v>Pass Result</x:v>
      </x:c>
      <x:c r="E4" s="87" t="str">
        <x:v>Fail Result</x:v>
      </x:c>
      <x:c r="F4"/>
      <x:c r="G4"/>
      <x:c r="H4"/>
    </x:row>
    <x:row r="5">
      <x:c r="A5" s="101" t="str">
        <x:v>1. Load Packet</x:v>
      </x:c>
      <x:c r="B5" s="102" t="str">
        <x:v>Packet folder/export</x:v>
      </x:c>
      <x:c r="C5" s="102" t="str">
        <x:v>Read canonical objects, receipt objects, manifest, signatures, and public key references.</x:v>
      </x:c>
      <x:c r="D5" s="102" t="str">
        <x:v>All required objects are present.</x:v>
      </x:c>
      <x:c r="E5" s="103" t="str">
        <x:v>Missing canonical object, receipt, or manifest.</x:v>
      </x:c>
      <x:c r="F5"/>
      <x:c r="G5"/>
      <x:c r="H5"/>
    </x:row>
    <x:row r="6">
      <x:c r="A6" s="104" t="str">
        <x:v>2. Canonicalize</x:v>
      </x:c>
      <x:c r="B6" s="105" t="str">
        <x:v>Canonical objects</x:v>
      </x:c>
      <x:c r="C6" s="105" t="str">
        <x:v>Apply PJ Canonical Form v1 exactly.</x:v>
      </x:c>
      <x:c r="D6" s="105" t="str">
        <x:v>Canonical bytes produced for each object.</x:v>
      </x:c>
      <x:c r="E6" s="106" t="str">
        <x:v>Canonicalization error or unsupported version.</x:v>
      </x:c>
      <x:c r="F6"/>
      <x:c r="G6"/>
      <x:c r="H6"/>
    </x:row>
    <x:row r="7">
      <x:c r="A7" s="104" t="str">
        <x:v>3. Hash Objects</x:v>
      </x:c>
      <x:c r="B7" s="105" t="str">
        <x:v>Canonical bytes</x:v>
      </x:c>
      <x:c r="C7" s="105" t="str">
        <x:v>Compute object hashes and compare to receipt commitments.</x:v>
      </x:c>
      <x:c r="D7" s="105" t="str">
        <x:v>All object hashes match receipts.</x:v>
      </x:c>
      <x:c r="E7" s="106" t="str">
        <x:v>Object altered or wrong object supplied.</x:v>
      </x:c>
      <x:c r="F7"/>
      <x:c r="G7"/>
      <x:c r="H7"/>
    </x:row>
    <x:row r="8">
      <x:c r="A8" s="104" t="str">
        <x:v>4. Verify Signatures</x:v>
      </x:c>
      <x:c r="B8" s="105" t="str">
        <x:v>Receipts + public keys</x:v>
      </x:c>
      <x:c r="C8" s="105" t="str">
        <x:v>Check signature bytes, key_id, algorithm, and key status.</x:v>
      </x:c>
      <x:c r="D8" s="105" t="str">
        <x:v>Signature valid and key accepted for signature time.</x:v>
      </x:c>
      <x:c r="E8" s="106" t="str">
        <x:v>Unknown, revoked, expired, or invalid signature.</x:v>
      </x:c>
      <x:c r="F8"/>
      <x:c r="G8"/>
      <x:c r="H8"/>
    </x:row>
    <x:row r="9">
      <x:c r="A9" s="104" t="str">
        <x:v>5. Walk PRR Chain</x:v>
      </x:c>
      <x:c r="B9" s="105" t="str">
        <x:v>PRR event receipts</x:v>
      </x:c>
      <x:c r="C9" s="105" t="str">
        <x:v>Verify previous/next event hash links and event count.</x:v>
      </x:c>
      <x:c r="D9" s="105" t="str">
        <x:v>Chain integrity holds.</x:v>
      </x:c>
      <x:c r="E9" s="106" t="str">
        <x:v>Broken link, duplicate sequence, or event mismatch.</x:v>
      </x:c>
      <x:c r="F9"/>
      <x:c r="G9"/>
      <x:c r="H9"/>
    </x:row>
    <x:row r="10">
      <x:c r="A10" s="104" t="str">
        <x:v>6. Rebuild CaseReceipt Root</x:v>
      </x:c>
      <x:c r="B10" s="105" t="str">
        <x:v>All member receipt hashes</x:v>
      </x:c>
      <x:c r="C10" s="105" t="str">
        <x:v>Sort by manifest ordering rule and recompute Merkle/root hash.</x:v>
      </x:c>
      <x:c r="D10" s="105" t="str">
        <x:v>Computed root equals CaseReceipt root.</x:v>
      </x:c>
      <x:c r="E10" s="106" t="str">
        <x:v>Receipt omitted, added, or altered.</x:v>
      </x:c>
      <x:c r="F10"/>
      <x:c r="G10"/>
      <x:c r="H10"/>
    </x:row>
    <x:row r="11">
      <x:c r="A11" s="104" t="str">
        <x:v>7. Verify Packet Binding</x:v>
      </x:c>
      <x:c r="B11" s="105" t="str">
        <x:v>Human-readable packet + canonical packet object</x:v>
      </x:c>
      <x:c r="C11" s="105" t="str">
        <x:v>Confirm packet hash and included sections match manifest.</x:v>
      </x:c>
      <x:c r="D11" s="105" t="str">
        <x:v>Packet matches sealed manifest.</x:v>
      </x:c>
      <x:c r="E11" s="106" t="str">
        <x:v>Packet swapped, edited, or incomplete.</x:v>
      </x:c>
      <x:c r="F11"/>
      <x:c r="G11"/>
      <x:c r="H11"/>
    </x:row>
    <x:row r="12">
      <x:c r="A12" s="104" t="str">
        <x:v>8. Check Anchor</x:v>
      </x:c>
      <x:c r="B12" s="105" t="str">
        <x:v>Optional anchor publication</x:v>
      </x:c>
      <x:c r="C12" s="105" t="str">
        <x:v>Compare CaseReceipt root and key fingerprint to anchor entry.</x:v>
      </x:c>
      <x:c r="D12" s="105" t="str">
        <x:v>Anchor confirms existence by publication time.</x:v>
      </x:c>
      <x:c r="E12" s="106" t="str">
        <x:v>Anchor missing/mismatch; flag lower assurance or tampering.</x:v>
      </x:c>
      <x:c r="F12"/>
      <x:c r="G12"/>
      <x:c r="H12"/>
    </x:row>
    <x:row r="13">
      <x:c r="A13" s="104" t="str">
        <x:v>9. Return Human Result</x:v>
      </x:c>
      <x:c r="B13" s="105" t="str">
        <x:v>Verifier results</x:v>
      </x:c>
      <x:c r="C13" s="105" t="str">
        <x:v>Report valid, altered, missing object, unknown signer, key issue, or anchor issue.</x:v>
      </x:c>
      <x:c r="D13" s="105" t="str">
        <x:v>Clear pass statement with counts.</x:v>
      </x:c>
      <x:c r="E13" s="106" t="str">
        <x:v>Clear failure statement naming first mismatch.</x:v>
      </x:c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</x:sheetData>
  <x:mergeCells>
    <x:mergeCell ref="A1:H1"/>
    <x:mergeCell ref="A2:H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34" hidden="0" customWidth="1"/>
    <x:col min="4" max="4" width="42" hidden="0" customWidth="1"/>
    <x:col min="5" max="5" width="38" hidden="0" customWidth="1"/>
  </x:cols>
  <x:sheetData>
    <x:row r="1" ht="28" customHeight="1">
      <x:c r="A1" s="79" t="str">
        <x:v>Final Canon Patch — No-Custody Trust Model</x:v>
      </x:c>
      <x:c r="B1"/>
      <x:c r="C1"/>
      <x:c r="D1"/>
      <x:c r="E1"/>
      <x:c r="F1"/>
      <x:c r="G1"/>
      <x:c r="H1"/>
    </x:row>
    <x:row r="2" ht="36" customHeight="1">
      <x:c r="A2" s="82" t="str">
        <x:v>These are the exact doctrine changes that keep PJ honest under hostile reading by town counsel, funders, owners, and developers.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24" customHeight="1">
      <x:c r="A4" s="87" t="str">
        <x:v>Canon Area</x:v>
      </x:c>
      <x:c r="B4" s="87" t="str">
        <x:v>Final Doctrine Line</x:v>
      </x:c>
      <x:c r="C4" s="87" t="str">
        <x:v>Old / Risky Frame</x:v>
      </x:c>
      <x:c r="D4" s="87" t="str">
        <x:v>New / Locked Frame</x:v>
      </x:c>
      <x:c r="E4" s="87" t="str">
        <x:v>Build Implication</x:v>
      </x:c>
      <x:c r="F4"/>
      <x:c r="G4"/>
      <x:c r="H4"/>
    </x:row>
    <x:row r="5">
      <x:c r="A5" s="101" t="str">
        <x:v>Immutability</x:v>
      </x:c>
      <x:c r="B5" s="102" t="str">
        <x:v>Immutability means alteration is exposed, not that PJ controls every copy.</x:v>
      </x:c>
      <x:c r="C5" s="102" t="str">
        <x:v>Immutable because PJ database triggers prevent edits.</x:v>
      </x:c>
      <x:c r="D5" s="102" t="str">
        <x:v>Verifiable because receipts and manifests expose alteration across storage boundaries.</x:v>
      </x:c>
      <x:c r="E5" s="103" t="str">
        <x:v>Append-only storage remains helpful, but portable proof is required.</x:v>
      </x:c>
      <x:c r="F5"/>
      <x:c r="G5"/>
      <x:c r="H5"/>
    </x:row>
    <x:row r="6">
      <x:c r="A6" s="104" t="str">
        <x:v>Custody</x:v>
      </x:c>
      <x:c r="B6" s="105" t="str">
        <x:v>Your tools can hold the files. PuddleJumper proves the record.</x:v>
      </x:c>
      <x:c r="C6" s="105" t="str">
        <x:v>PJ must be the system of record.</x:v>
      </x:c>
      <x:c r="D6" s="105" t="str">
        <x:v>PJ is the governed explanation/proof layer above existing tools.</x:v>
      </x:c>
      <x:c r="E6" s="106" t="str">
        <x:v>Drive/Gmail/Airbnb can remain sources and stores.</x:v>
      </x:c>
      <x:c r="F6"/>
      <x:c r="G6"/>
      <x:c r="H6"/>
    </x:row>
    <x:row r="7">
      <x:c r="A7" s="104" t="str">
        <x:v>Truth</x:v>
      </x:c>
      <x:c r="B7" s="105" t="str">
        <x:v>A receipt attests existence-at-time and stated provenance, not truth of every claim.</x:v>
      </x:c>
      <x:c r="C7" s="105" t="str">
        <x:v>Receipt proves the content is true.</x:v>
      </x:c>
      <x:c r="D7" s="105" t="str">
        <x:v>Receipt proves what was in the record, where it came from, and what was sealed.</x:v>
      </x:c>
      <x:c r="E7" s="106" t="str">
        <x:v>Marketing and legal language must avoid overclaiming.</x:v>
      </x:c>
      <x:c r="F7"/>
      <x:c r="G7"/>
      <x:c r="H7"/>
    </x:row>
    <x:row r="8">
      <x:c r="A8" s="104" t="str">
        <x:v>Completeness</x:v>
      </x:c>
      <x:c r="B8" s="105" t="str">
        <x:v>A CaseSpace is trustworthy only when the completeness of its receipts can be verified.</x:v>
      </x:c>
      <x:c r="C8" s="105" t="str">
        <x:v>A valid hash chain proves the whole case.</x:v>
      </x:c>
      <x:c r="D8" s="105" t="str">
        <x:v>Record-level proof stops alteration; set-level CaseReceipt proof stops omission.</x:v>
      </x:c>
      <x:c r="E8" s="106" t="str">
        <x:v>ARCHIEVE must generate a CaseReceipt manifest.</x:v>
      </x:c>
      <x:c r="F8"/>
      <x:c r="G8"/>
      <x:c r="H8"/>
    </x:row>
    <x:row r="9">
      <x:c r="A9" s="104" t="str">
        <x:v>Canonical Form</x:v>
      </x:c>
      <x:c r="B9" s="105" t="str">
        <x:v>Canonicalization is a first-class spec.</x:v>
      </x:c>
      <x:c r="C9" s="105" t="str">
        <x:v>Hash whatever the app stores.</x:v>
      </x:c>
      <x:c r="D9" s="105" t="str">
        <x:v>Hash deterministic canonical bytes included in the packet.</x:v>
      </x:c>
      <x:c r="E9" s="106" t="str">
        <x:v>Build canonical_form_v1 before relying on signatures.</x:v>
      </x:c>
      <x:c r="F9"/>
      <x:c r="G9"/>
      <x:c r="H9"/>
    </x:row>
    <x:row r="10">
      <x:c r="A10" s="104" t="str">
        <x:v>Verification</x:v>
      </x:c>
      <x:c r="B10" s="105" t="str">
        <x:v>Offline verification is the invariant.</x:v>
      </x:c>
      <x:c r="C10" s="105" t="str">
        <x:v>Use PublicLogic verification URL.</x:v>
      </x:c>
      <x:c r="D10" s="105" t="str">
        <x:v>URL is convenience; verifier must work offline with packet and public keys.</x:v>
      </x:c>
      <x:c r="E10" s="106" t="str">
        <x:v>Ship a simple local verifier or documented verification routine.</x:v>
      </x:c>
      <x:c r="F10"/>
      <x:c r="G10"/>
      <x:c r="H10"/>
    </x:row>
    <x:row r="11">
      <x:c r="A11" s="104" t="str">
        <x:v>Keys</x:v>
      </x:c>
      <x:c r="B11" s="105" t="str">
        <x:v>Separate signing meanings: runtime assembly, organization record, authorized closure.</x:v>
      </x:c>
      <x:c r="C11" s="105" t="str">
        <x:v>PublicLogic signs everything.</x:v>
      </x:c>
      <x:c r="D11" s="105" t="str">
        <x:v>Dual or triple attestation depending on lane/stakes.</x:v>
      </x:c>
      <x:c r="E11" s="106" t="str">
        <x:v>Build signer roles into receipt schema.</x:v>
      </x:c>
      <x:c r="F11"/>
      <x:c r="G11"/>
      <x:c r="H11"/>
    </x:row>
    <x:row r="12">
      <x:c r="A12" s="104" t="str">
        <x:v>Trust Anchor</x:v>
      </x:c>
      <x:c r="B12" s="105" t="str">
        <x:v>High-trust seals should publish or preserve an external root.</x:v>
      </x:c>
      <x:c r="C12" s="105" t="str">
        <x:v>Signature alone is enough forever.</x:v>
      </x:c>
      <x:c r="D12" s="105" t="str">
        <x:v>Anchors support omission detection, replacement resistance, and compromise analysis.</x:v>
      </x:c>
      <x:c r="E12" s="106" t="str">
        <x:v>Start with periodic published roots or customer co-signing; evolve as needed.</x:v>
      </x:c>
      <x:c r="F12"/>
      <x:c r="G12"/>
      <x:c r="H12"/>
    </x:row>
    <x:row r="13">
      <x:c r="A13" s="104" t="str">
        <x:v>ARCHIEVE</x:v>
      </x:c>
      <x:c r="B13" s="105" t="str">
        <x:v>ARCHIEVE binds canonical packet, member receipts, CaseReceipt, signatures, and optional anchor.</x:v>
      </x:c>
      <x:c r="C13" s="105" t="str">
        <x:v>ARCHIEVE is just a PDF export.</x:v>
      </x:c>
      <x:c r="D13" s="105" t="str">
        <x:v>ARCHIEVE is a sealed, manifest-backed, independently verifiable closeout.</x:v>
      </x:c>
      <x:c r="E13" s="106" t="str">
        <x:v>Packet builder must output canonical bundle, not just human PDF.</x:v>
      </x:c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</x:sheetData>
  <x:mergeCells>
    <x:mergeCell ref="A1:H1"/>
    <x:mergeCell ref="A2:H2"/>
  </x:mergeCells>
  <x:pageMargins left="0.7" right="0.7" top="0.75" bottom="0.75" header="0.3" footer="0.3"/>
</x:worksheet>
</file>