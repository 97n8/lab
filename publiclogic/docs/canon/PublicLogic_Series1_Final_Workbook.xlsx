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Index" sheetId="1" state="visible" r:id="rId1"/>
    <sheet xmlns:r="http://schemas.openxmlformats.org/officeDocument/2006/relationships" name="01_Core_Doctrine" sheetId="2" state="visible" r:id="rId2"/>
    <sheet xmlns:r="http://schemas.openxmlformats.org/officeDocument/2006/relationships" name="02_Problems" sheetId="3" state="visible" r:id="rId3"/>
    <sheet xmlns:r="http://schemas.openxmlformats.org/officeDocument/2006/relationships" name="03_Client_Experience" sheetId="4" state="visible" r:id="rId4"/>
    <sheet xmlns:r="http://schemas.openxmlformats.org/officeDocument/2006/relationships" name="04_CaseSpace_Schema" sheetId="5" state="visible" r:id="rId5"/>
    <sheet xmlns:r="http://schemas.openxmlformats.org/officeDocument/2006/relationships" name="05_Series1_Templates" sheetId="6" state="visible" r:id="rId6"/>
    <sheet xmlns:r="http://schemas.openxmlformats.org/officeDocument/2006/relationships" name="06_Work_Packs" sheetId="7" state="visible" r:id="rId7"/>
    <sheet xmlns:r="http://schemas.openxmlformats.org/officeDocument/2006/relationships" name="07_Dashboards" sheetId="8" state="visible" r:id="rId8"/>
    <sheet xmlns:r="http://schemas.openxmlformats.org/officeDocument/2006/relationships" name="08_Permit_Bridge_Lanes" sheetId="9" state="visible" r:id="rId9"/>
    <sheet xmlns:r="http://schemas.openxmlformats.org/officeDocument/2006/relationships" name="09_Doors_Same_System" sheetId="10" state="visible" r:id="rId10"/>
    <sheet xmlns:r="http://schemas.openxmlformats.org/officeDocument/2006/relationships" name="10_Time_Attendance" sheetId="11" state="visible" r:id="rId11"/>
    <sheet xmlns:r="http://schemas.openxmlformats.org/officeDocument/2006/relationships" name="11_Path_Generator" sheetId="12" state="visible" r:id="rId12"/>
    <sheet xmlns:r="http://schemas.openxmlformats.org/officeDocument/2006/relationships" name="12_Client_CaseSpace_View" sheetId="13" state="visible" r:id="rId13"/>
    <sheet xmlns:r="http://schemas.openxmlformats.org/officeDocument/2006/relationships" name="13_Operator_Page" sheetId="14" state="visible" r:id="rId14"/>
    <sheet xmlns:r="http://schemas.openxmlformats.org/officeDocument/2006/relationships" name="14_Feature_Gate" sheetId="15" state="visible" r:id="rId15"/>
    <sheet xmlns:r="http://schemas.openxmlformats.org/officeDocument/2006/relationships" name="15_Competitive_Positioning" sheetId="16" state="visible" r:id="rId16"/>
    <sheet xmlns:r="http://schemas.openxmlformats.org/officeDocument/2006/relationships" name="16_Build_Order" sheetId="17" state="visible" r:id="rId17"/>
    <sheet xmlns:r="http://schemas.openxmlformats.org/officeDocument/2006/relationships" name="17_Backlog" sheetId="18" state="visible" r:id="rId18"/>
    <sheet xmlns:r="http://schemas.openxmlformats.org/officeDocument/2006/relationships" name="18_Template_Ratifier" sheetId="19" state="visible" r:id="rId19"/>
    <sheet xmlns:r="http://schemas.openxmlformats.org/officeDocument/2006/relationships" name="19_Final_Audit" sheetId="20" state="visible" r:id="rId20"/>
    <sheet xmlns:r="http://schemas.openxmlformats.org/officeDocument/2006/relationships" name="20_Battlecards" sheetId="21" state="visible" r:id="rId21"/>
    <sheet xmlns:r="http://schemas.openxmlformats.org/officeDocument/2006/relationships" name="21_Partner_Protocol" sheetId="22" state="visible" r:id="rId22"/>
    <sheet xmlns:r="http://schemas.openxmlformats.org/officeDocument/2006/relationships" name="22_Sample_Path_Sheets" sheetId="23" state="visible" r:id="rId23"/>
    <sheet xmlns:r="http://schemas.openxmlformats.org/officeDocument/2006/relationships" name="23_Encroachment_Watchlist" sheetId="24" state="visible" r:id="rId24"/>
    <sheet xmlns:r="http://schemas.openxmlformats.org/officeDocument/2006/relationships" name="24_Source_Register" sheetId="25" state="visible" r:id="rId25"/>
    <sheet xmlns:r="http://schemas.openxmlformats.org/officeDocument/2006/relationships" name="25_SplitRow_Combos" sheetId="26" state="visible" r:id="rId26"/>
    <sheet xmlns:r="http://schemas.openxmlformats.org/officeDocument/2006/relationships" name="26_Industry_Combos" sheetId="27" state="visible" r:id="rId27"/>
  </sheets>
  <definedNames/>
</workbook>
</file>

<file path=xl/styles.xml><?xml version="1.0" encoding="utf-8"?>
<styleSheet xmlns="http://schemas.openxmlformats.org/spreadsheetml/2006/main">
  <numFmts count="0"/>
  <fonts count="7">
    <font>
      <name val="Carlito"/>
      <sz val="11"/>
    </font>
    <font>
      <name val="Carlito"/>
      <b val="1"/>
      <color rgb="FFFFFFFF"/>
      <sz val="15"/>
    </font>
    <font>
      <name val="Carlito"/>
      <color rgb="FF0F172A"/>
      <sz val="10"/>
    </font>
    <font>
      <name val="Carlito"/>
      <b val="1"/>
      <color rgb="FFFFFFFF"/>
      <sz val="10"/>
    </font>
    <font>
      <name val="Carlito"/>
      <b val="1"/>
      <color rgb="FFFFFFFF"/>
      <sz val="14"/>
    </font>
    <font>
      <name val="Carlito"/>
      <i val="1"/>
      <color rgb="FF1F2937"/>
      <sz val="10"/>
    </font>
    <font>
      <name val="Carlito"/>
      <b val="1"/>
      <color rgb="FFFFFFFF"/>
      <sz val="11"/>
    </font>
  </fonts>
  <fills count="8">
    <fill>
      <patternFill/>
    </fill>
    <fill>
      <patternFill patternType="gray125"/>
    </fill>
    <fill>
      <patternFill patternType="solid">
        <fgColor rgb="FF0B1F33"/>
      </patternFill>
    </fill>
    <fill>
      <patternFill patternType="solid">
        <fgColor rgb="FFE8F1F2"/>
      </patternFill>
    </fill>
    <fill>
      <patternFill patternType="solid">
        <fgColor rgb="FF0F766E"/>
      </patternFill>
    </fill>
    <fill>
      <patternFill patternType="solid">
        <fgColor rgb="FF0B1F33"/>
      </patternFill>
    </fill>
    <fill>
      <patternFill patternType="solid">
        <fgColor rgb="FFE7F0EA"/>
      </patternFill>
    </fill>
    <fill>
      <patternFill patternType="solid">
        <fgColor rgb="FF0F766E"/>
      </patternFill>
    </fill>
  </fills>
  <borders count="2">
    <border/>
    <border/>
  </borders>
  <cellStyleXfs count="1">
    <xf numFmtId="0" fontId="0" fillId="0" borderId="1"/>
  </cellStyleXfs>
  <cellXfs count="5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3" fillId="4" borderId="0" applyAlignment="1" pivotButton="0" quotePrefix="0" xfId="0">
      <alignment horizontal="center" vertical="top" wrapText="1"/>
    </xf>
    <xf numFmtId="0" fontId="0" fillId="0" borderId="0" applyAlignment="1" pivotButton="0" quotePrefix="0" xfId="0">
      <alignment vertical="top" wrapText="1"/>
    </xf>
    <xf numFmtId="0" fontId="3" fillId="4" borderId="1" applyAlignment="1" pivotButton="0" quotePrefix="0" xfId="0">
      <alignment horizontal="center" vertical="top" wrapText="1"/>
    </xf>
    <xf numFmtId="0" fontId="0" fillId="0" borderId="1" applyAlignment="1" pivotButton="0" quotePrefix="0" xfId="0">
      <alignment vertical="top" wrapText="1"/>
    </xf>
    <xf numFmtId="0" fontId="0" fillId="0" borderId="0" pivotButton="0" quotePrefix="0" xfId="0"/>
    <xf numFmtId="0" fontId="1" fillId="5" borderId="0" applyAlignment="1" pivotButton="0" quotePrefix="0" xfId="0">
      <alignment wrapText="1"/>
    </xf>
    <xf numFmtId="0" fontId="4" fillId="5" borderId="0" applyAlignment="1" pivotButton="0" quotePrefix="0" xfId="0">
      <alignment wrapText="1"/>
    </xf>
    <xf numFmtId="0" fontId="4" fillId="5" borderId="0" applyAlignment="1" pivotButton="0" quotePrefix="0" xfId="0">
      <alignment horizontal="left" wrapText="1"/>
    </xf>
    <xf numFmtId="0" fontId="4" fillId="5" borderId="0" applyAlignment="1" pivotButton="0" quotePrefix="0" xfId="0">
      <alignment horizontal="left" vertical="center" wrapText="1"/>
    </xf>
    <xf numFmtId="0" fontId="2" fillId="6" borderId="0" applyAlignment="1" pivotButton="0" quotePrefix="0" xfId="0">
      <alignment wrapText="1"/>
    </xf>
    <xf numFmtId="0" fontId="5" fillId="6" borderId="0" applyAlignment="1" pivotButton="0" quotePrefix="0" xfId="0">
      <alignment wrapText="1"/>
    </xf>
    <xf numFmtId="0" fontId="3" fillId="7" borderId="0" applyAlignment="1" pivotButton="0" quotePrefix="0" xfId="0">
      <alignment horizontal="center" vertical="top" wrapText="1"/>
    </xf>
    <xf numFmtId="0" fontId="3" fillId="7" borderId="0" applyAlignment="1" pivotButton="0" quotePrefix="0" xfId="0">
      <alignment horizontal="center" vertical="center" wrapText="1"/>
    </xf>
    <xf numFmtId="0" fontId="0" fillId="7" borderId="0" pivotButton="0" quotePrefix="0" xfId="0"/>
    <xf numFmtId="0" fontId="6" fillId="7" borderId="0" pivotButton="0" quotePrefix="0" xfId="0"/>
    <xf numFmtId="0" fontId="6" fillId="7" borderId="0" applyAlignment="1" pivotButton="0" quotePrefix="0" xfId="0">
      <alignment wrapText="1"/>
    </xf>
    <xf numFmtId="0" fontId="6" fillId="7" borderId="0" applyAlignment="1" pivotButton="0" quotePrefix="0" xfId="0">
      <alignment horizontal="center" wrapText="1"/>
    </xf>
    <xf numFmtId="0" fontId="6" fillId="7" borderId="0" applyAlignment="1" pivotButton="0" quotePrefix="0" xfId="0">
      <alignment horizontal="center" vertical="center" wrapText="1"/>
    </xf>
    <xf numFmtId="0" fontId="0" fillId="7" borderId="0" applyAlignment="1" pivotButton="0" quotePrefix="0" xfId="0">
      <alignment vertical="top" wrapText="1"/>
    </xf>
    <xf numFmtId="0" fontId="6" fillId="7" borderId="0" applyAlignment="1" pivotButton="0" quotePrefix="0" xfId="0">
      <alignment vertical="top" wrapText="1"/>
    </xf>
    <xf numFmtId="0" fontId="6" fillId="7" borderId="0" applyAlignment="1" pivotButton="0" quotePrefix="0" xfId="0">
      <alignment horizontal="center" vertical="top" wrapText="1"/>
    </xf>
    <xf numFmtId="0" fontId="0" fillId="5" borderId="0" pivotButton="0" quotePrefix="0" xfId="0"/>
    <xf numFmtId="0" fontId="4" fillId="5" borderId="0" pivotButton="0" quotePrefix="0" xfId="0"/>
    <xf numFmtId="0" fontId="0" fillId="6" borderId="0" pivotButton="0" quotePrefix="0" xfId="0"/>
    <xf numFmtId="0" fontId="5" fillId="6" borderId="0" pivotButton="0" quotePrefix="0" xfId="0"/>
    <xf numFmtId="0" fontId="4" fillId="5" borderId="1" applyAlignment="1" pivotButton="0" quotePrefix="0" xfId="0">
      <alignment horizontal="left" vertical="center" wrapText="1"/>
    </xf>
    <xf numFmtId="0" fontId="5" fillId="6" borderId="1"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8" customWidth="1" style="30" min="1" max="1"/>
    <col width="72" customWidth="1" style="30" min="2" max="2"/>
    <col width="20" customWidth="1" style="30" min="3" max="3"/>
  </cols>
  <sheetData>
    <row r="1" ht="33.59999847412109" customHeight="1" s="30">
      <c r="A1" s="51" t="inlineStr">
        <is>
          <t>PublicLogic Series 1 — Final Workbook Index</t>
        </is>
      </c>
      <c r="B1" s="1" t="n"/>
      <c r="C1" s="1" t="n"/>
      <c r="D1" s="4" t="n"/>
      <c r="E1" s="4" t="n"/>
      <c r="F1" s="4" t="n"/>
      <c r="G1" s="4" t="n"/>
      <c r="H1" s="4" t="n"/>
    </row>
    <row r="2" ht="48" customHeight="1" s="30">
      <c r="A2" s="52" t="inlineStr">
        <is>
          <t>Final competitive/positioning update: standing/closing CaseSpaces, non-replacement discipline, stewardship, and battlecards.</t>
        </is>
      </c>
      <c r="B2" s="1" t="n"/>
      <c r="C2" s="1" t="n"/>
      <c r="D2" s="10" t="n"/>
      <c r="E2" s="10" t="n"/>
      <c r="F2" s="10" t="n"/>
      <c r="G2" s="10" t="n"/>
      <c r="H2" s="10" t="n"/>
    </row>
    <row r="3" ht="15" customHeight="1" s="30"/>
    <row r="4" ht="15" customHeight="1" s="30">
      <c r="A4" s="38" t="inlineStr">
        <is>
          <t>Sheet</t>
        </is>
      </c>
      <c r="B4" s="38" t="inlineStr">
        <is>
          <t>Purpose</t>
        </is>
      </c>
      <c r="C4" s="38" t="inlineStr">
        <is>
          <t>Type</t>
        </is>
      </c>
    </row>
    <row r="5" ht="15" customHeight="1" s="30">
      <c r="A5" s="27" t="inlineStr">
        <is>
          <t>00_Index</t>
        </is>
      </c>
      <c r="B5" s="27" t="inlineStr">
        <is>
          <t>Workbook map and final update notes</t>
        </is>
      </c>
      <c r="C5" s="27" t="inlineStr">
        <is>
          <t>Index</t>
        </is>
      </c>
    </row>
    <row r="6" ht="15" customHeight="1" s="30">
      <c r="A6" s="27" t="inlineStr">
        <is>
          <t>01_Core_Doctrine</t>
        </is>
      </c>
      <c r="B6" s="27" t="inlineStr">
        <is>
          <t>Core doctrine updated: primitive + non-replacement + counsel-ready fence</t>
        </is>
      </c>
      <c r="C6" s="27" t="inlineStr">
        <is>
          <t>Doctrine</t>
        </is>
      </c>
    </row>
    <row r="7" ht="15" customHeight="1" s="30">
      <c r="A7" s="27" t="inlineStr">
        <is>
          <t>02_Problems</t>
        </is>
      </c>
      <c r="B7" s="27" t="inlineStr">
        <is>
          <t>Problem framing for search, bridges, and human routing</t>
        </is>
      </c>
      <c r="C7" s="27" t="inlineStr">
        <is>
          <t>Doctrine</t>
        </is>
      </c>
    </row>
    <row r="8" ht="15" customHeight="1" s="30">
      <c r="A8" s="27" t="inlineStr">
        <is>
          <t>03_Client_Experience</t>
        </is>
      </c>
      <c r="B8" s="27" t="inlineStr">
        <is>
          <t>PJ Lite client experience and promise</t>
        </is>
      </c>
      <c r="C8" s="27" t="inlineStr">
        <is>
          <t>Doctrine</t>
        </is>
      </c>
    </row>
    <row r="9" ht="15" customHeight="1" s="30">
      <c r="A9" s="27" t="inlineStr">
        <is>
          <t>04_CaseSpace_Schema</t>
        </is>
      </c>
      <c r="B9" s="27" t="inlineStr">
        <is>
          <t>Standing/closing CaseSpace fields and seed JSON</t>
        </is>
      </c>
      <c r="C9" s="27" t="inlineStr">
        <is>
          <t>Build Spec</t>
        </is>
      </c>
    </row>
    <row r="10" ht="15" customHeight="1" s="30">
      <c r="A10" s="27" t="inlineStr">
        <is>
          <t>05_Series1_Templates</t>
        </is>
      </c>
      <c r="B10" s="27" t="inlineStr">
        <is>
          <t>Series 1 ready-to-run template catalog</t>
        </is>
      </c>
      <c r="C10" s="27" t="inlineStr">
        <is>
          <t>Product Spec</t>
        </is>
      </c>
    </row>
    <row r="11" ht="15" customHeight="1" s="30">
      <c r="A11" s="27" t="inlineStr">
        <is>
          <t>06_Work_Packs</t>
        </is>
      </c>
      <c r="B11" s="27" t="inlineStr">
        <is>
          <t>Bundles of parent + child CaseSpace templates</t>
        </is>
      </c>
      <c r="C11" s="27" t="inlineStr">
        <is>
          <t>Product Spec</t>
        </is>
      </c>
    </row>
    <row r="12" ht="15" customHeight="1" s="30">
      <c r="A12" s="27" t="inlineStr">
        <is>
          <t>07_Dashboards</t>
        </is>
      </c>
      <c r="B12" s="27" t="inlineStr">
        <is>
          <t>Dashboard layers and formulas</t>
        </is>
      </c>
      <c r="C12" s="27" t="inlineStr">
        <is>
          <t>Product Spec</t>
        </is>
      </c>
    </row>
    <row r="13" ht="15" customHeight="1" s="30">
      <c r="A13" s="27" t="inlineStr">
        <is>
          <t>08_Permit_Bridge_Lanes</t>
        </is>
      </c>
      <c r="B13" s="27" t="inlineStr">
        <is>
          <t>Permit &amp; Bridge lane model</t>
        </is>
      </c>
      <c r="C13" s="27" t="inlineStr">
        <is>
          <t>Product Spec</t>
        </is>
      </c>
    </row>
    <row r="14" ht="15" customHeight="1" s="30">
      <c r="A14" s="26" t="inlineStr">
        <is>
          <t>09_Doors_Same_System</t>
        </is>
      </c>
      <c r="B14" s="26" t="inlineStr">
        <is>
          <t>Proof that all doors map to Capture/Classify/Advance/Seal</t>
        </is>
      </c>
      <c r="C14" s="26" t="inlineStr">
        <is>
          <t>Doctrine</t>
        </is>
      </c>
    </row>
    <row r="15" ht="15" customHeight="1" s="30">
      <c r="A15" s="27" t="inlineStr">
        <is>
          <t>10_Time_Attendance</t>
        </is>
      </c>
      <c r="B15" s="27" t="inlineStr">
        <is>
          <t>Time and attendance as a work pack, not HRIS</t>
        </is>
      </c>
      <c r="C15" s="27" t="inlineStr">
        <is>
          <t>Product Spec</t>
        </is>
      </c>
    </row>
    <row r="16" ht="15" customHeight="1" s="30">
      <c r="A16" s="27" t="inlineStr">
        <is>
          <t>11_Path_Generator</t>
        </is>
      </c>
      <c r="B16" s="27" t="inlineStr">
        <is>
          <t>MVP spec for Path Sheet generator and bridge score</t>
        </is>
      </c>
      <c r="C16" s="27" t="inlineStr">
        <is>
          <t>Build Spec</t>
        </is>
      </c>
    </row>
    <row r="17" ht="15" customHeight="1" s="30">
      <c r="A17" s="27" t="inlineStr">
        <is>
          <t>12_Client_CaseSpace_View</t>
        </is>
      </c>
      <c r="B17" s="27" t="inlineStr">
        <is>
          <t>Client CaseSpace view — five tabs maximum</t>
        </is>
      </c>
      <c r="C17" s="27" t="inlineStr">
        <is>
          <t>Build Spec</t>
        </is>
      </c>
    </row>
    <row r="18" ht="15" customHeight="1" s="30">
      <c r="A18" s="27" t="inlineStr">
        <is>
          <t>13_Operator_Page</t>
        </is>
      </c>
      <c r="B18" s="27" t="inlineStr">
        <is>
          <t>Operator movement board and weekly update format</t>
        </is>
      </c>
      <c r="C18" s="27" t="inlineStr">
        <is>
          <t>Build Spec</t>
        </is>
      </c>
    </row>
    <row r="19" ht="15" customHeight="1" s="30">
      <c r="A19" s="27" t="inlineStr">
        <is>
          <t>14_Feature_Gate</t>
        </is>
      </c>
      <c r="B19" s="27" t="inlineStr">
        <is>
          <t>Rule-of-Three feature discipline</t>
        </is>
      </c>
      <c r="C19" s="27" t="inlineStr">
        <is>
          <t>Governance</t>
        </is>
      </c>
    </row>
    <row r="20" ht="15" customHeight="1" s="30">
      <c r="A20" s="27" t="inlineStr">
        <is>
          <t>15_Competitive_Positioning</t>
        </is>
      </c>
      <c r="B20" s="27" t="inlineStr">
        <is>
          <t>Final competitive position after mid-2026 teardown</t>
        </is>
      </c>
      <c r="C20" s="27" t="inlineStr">
        <is>
          <t>Strategy</t>
        </is>
      </c>
    </row>
    <row r="21" ht="15" customHeight="1" s="30">
      <c r="A21" s="27" t="inlineStr">
        <is>
          <t>16_Build_Order</t>
        </is>
      </c>
      <c r="B21" s="27" t="inlineStr">
        <is>
          <t>First clickable loop and proof-of-moat build sequence</t>
        </is>
      </c>
      <c r="C21" s="27" t="inlineStr">
        <is>
          <t>Build Plan</t>
        </is>
      </c>
    </row>
    <row r="22" ht="15" customHeight="1" s="30">
      <c r="A22" s="27" t="inlineStr">
        <is>
          <t>17_Backlog</t>
        </is>
      </c>
      <c r="B22" s="27" t="inlineStr">
        <is>
          <t>Pattern and build queue</t>
        </is>
      </c>
      <c r="C22" s="27" t="inlineStr">
        <is>
          <t>Build Plan</t>
        </is>
      </c>
    </row>
    <row r="23" ht="15" customHeight="1" s="30">
      <c r="A23" s="27" t="inlineStr">
        <is>
          <t>18_Template_Ratifier</t>
        </is>
      </c>
      <c r="B23" s="27" t="inlineStr">
        <is>
          <t>Template gates before any new door becomes product</t>
        </is>
      </c>
      <c r="C23" s="27" t="inlineStr">
        <is>
          <t>Governance</t>
        </is>
      </c>
    </row>
    <row r="24" ht="15" customHeight="1" s="30">
      <c r="A24" s="27" t="inlineStr">
        <is>
          <t>19_Final_Audit</t>
        </is>
      </c>
      <c r="B24" s="27" t="inlineStr">
        <is>
          <t>Final audit controls and workbook release checks</t>
        </is>
      </c>
      <c r="C24" s="27" t="inlineStr">
        <is>
          <t>Audit</t>
        </is>
      </c>
    </row>
    <row r="25" ht="15" customHeight="1" s="30">
      <c r="A25" s="27" t="inlineStr">
        <is>
          <t>20_Battlecards</t>
        </is>
      </c>
      <c r="B25" s="27" t="inlineStr">
        <is>
          <t>Head-to-head answers for Polimorphic, GovWell, incumbents, no-code, legal/compliance, STAY</t>
        </is>
      </c>
      <c r="C25" s="27" t="inlineStr">
        <is>
          <t>Strategy</t>
        </is>
      </c>
    </row>
    <row r="26" ht="15" customHeight="1" s="30">
      <c r="A26" s="27" t="inlineStr">
        <is>
          <t>21_Partner_Protocol</t>
        </is>
      </c>
      <c r="B26" s="27" t="inlineStr">
        <is>
          <t>Non-replacement, NDA, and partner-safe operating protocol</t>
        </is>
      </c>
      <c r="C26" s="27" t="inlineStr">
        <is>
          <t>Governance</t>
        </is>
      </c>
    </row>
    <row r="27" ht="15" customHeight="1" s="30">
      <c r="A27" s="27" t="inlineStr">
        <is>
          <t>22_Sample_Path_Sheets</t>
        </is>
      </c>
      <c r="B27" s="27" t="inlineStr">
        <is>
          <t>Filled examples proving one structure across MUNI, GRANT, STAY</t>
        </is>
      </c>
      <c r="C27" s="27" t="inlineStr">
        <is>
          <t>Examples</t>
        </is>
      </c>
    </row>
    <row r="28" ht="15" customHeight="1" s="30">
      <c r="A28" s="27" t="inlineStr">
        <is>
          <t>23_Encroachment_Watchlist</t>
        </is>
      </c>
      <c r="B28" s="27" t="inlineStr">
        <is>
          <t>Watch-and-trigger table for Polimorphic, GovWell, Granicus, OpenGov, Tyler, others</t>
        </is>
      </c>
      <c r="C28" s="27" t="inlineStr">
        <is>
          <t>Strategy</t>
        </is>
      </c>
    </row>
    <row r="29" ht="15" customHeight="1" s="30">
      <c r="A29" s="27" t="inlineStr">
        <is>
          <t>24_Source_Register</t>
        </is>
      </c>
      <c r="B29" s="27" t="inlineStr">
        <is>
          <t>Public web source URLs used for competitive pressure-test</t>
        </is>
      </c>
      <c r="C29" s="27" t="inlineStr">
        <is>
          <t>Sources</t>
        </is>
      </c>
    </row>
    <row r="30">
      <c r="A30" s="27" t="n"/>
      <c r="B30" s="27" t="n"/>
      <c r="C30" s="27" t="n"/>
    </row>
    <row r="31">
      <c r="A31" s="27" t="n"/>
      <c r="B31" s="27" t="n"/>
      <c r="C31" s="27" t="n"/>
    </row>
    <row r="32">
      <c r="A32" s="27" t="n"/>
      <c r="B32" s="27" t="n"/>
      <c r="C32" s="27" t="n"/>
    </row>
    <row r="33">
      <c r="A33" s="27" t="n"/>
      <c r="B33" s="27" t="n"/>
      <c r="C33" s="27" t="n"/>
    </row>
    <row r="34">
      <c r="A34" s="27" t="inlineStr">
        <is>
          <t>25_SplitRow_Combos</t>
        </is>
      </c>
      <c r="B34" s="27" t="inlineStr">
        <is>
          <t>Tool x template combos via the consonant/vowel split-row framework; free vs paid</t>
        </is>
      </c>
      <c r="C34" s="27" t="inlineStr">
        <is>
          <t>Product Spec</t>
        </is>
      </c>
    </row>
    <row r="35">
      <c r="A35" s="27" t="inlineStr">
        <is>
          <t>26_Industry_Combos</t>
        </is>
      </c>
      <c r="B35" s="27" t="inlineStr">
        <is>
          <t>Which template overlays (vowels) run on the same tools (consonants), by industry</t>
        </is>
      </c>
      <c r="C35" s="27" t="inlineStr">
        <is>
          <t>Strategy</t>
        </is>
      </c>
    </row>
  </sheetData>
  <mergeCells count="2">
    <mergeCell ref="A1:C1"/>
    <mergeCell ref="A2:C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4" customWidth="1" style="30" min="1" max="1"/>
    <col width="28" customWidth="1" style="30" min="2" max="2"/>
    <col width="78" customWidth="1" style="30" min="3" max="3"/>
    <col width="20" customWidth="1" style="30" min="4" max="4"/>
  </cols>
  <sheetData>
    <row r="1" ht="50.40000152587891" customHeight="1" s="30">
      <c r="A1" s="51" t="inlineStr">
        <is>
          <t>Core Doctrine — One Primitive, Many Surfaces</t>
        </is>
      </c>
      <c r="B1" s="1" t="n"/>
      <c r="C1" s="1" t="n"/>
      <c r="D1" s="1" t="n"/>
      <c r="E1" s="4" t="n"/>
      <c r="F1" s="4" t="n"/>
    </row>
    <row r="2" ht="72" customHeight="1" s="30">
      <c r="A2" s="52" t="inlineStr">
        <is>
          <t>PublicLogic is a governed work library of templates, tools, and information that open as standing/closing CaseSpaces, backed by stewardship and designed not to replace existing systems.</t>
        </is>
      </c>
      <c r="B2" s="1" t="n"/>
      <c r="C2" s="1" t="n"/>
      <c r="D2" s="1" t="n"/>
      <c r="E2" s="10" t="n"/>
      <c r="F2" s="10" t="n"/>
    </row>
    <row r="3" ht="15" customHeight="1" s="30"/>
    <row r="4" ht="15" customHeight="1" s="30">
      <c r="A4" s="38" t="inlineStr">
        <is>
          <t>Decision</t>
        </is>
      </c>
      <c r="B4" s="38" t="inlineStr">
        <is>
          <t>Canonical Binding</t>
        </is>
      </c>
      <c r="C4" s="38" t="inlineStr">
        <is>
          <t>Meaning</t>
        </is>
      </c>
      <c r="D4" s="38" t="inlineStr">
        <is>
          <t>Fence</t>
        </is>
      </c>
    </row>
    <row r="5" ht="15" customHeight="1" s="30">
      <c r="A5" s="27" t="inlineStr">
        <is>
          <t>One Primitive</t>
        </is>
      </c>
      <c r="B5" s="27" t="inlineStr">
        <is>
          <t>CaseSpace</t>
        </is>
      </c>
      <c r="C5" s="27" t="inlineStr">
        <is>
          <t>A governed operating record for a unit of work. It can be standing/container or closing/leaf.</t>
        </is>
      </c>
      <c r="D5" s="27" t="inlineStr">
        <is>
          <t>Doctrine</t>
        </is>
      </c>
    </row>
    <row r="6" ht="15" customHeight="1" s="30">
      <c r="A6" s="27" t="inlineStr">
        <is>
          <t>Standing CaseSpace</t>
        </is>
      </c>
      <c r="B6" s="27" t="inlineStr">
        <is>
          <t>Container</t>
        </is>
      </c>
      <c r="C6" s="27" t="inlineStr">
        <is>
          <t>Ongoing parent: property, department, project, client, program, app/repo, or operating area.</t>
        </is>
      </c>
      <c r="D6" s="27" t="inlineStr">
        <is>
          <t>Doctrine</t>
        </is>
      </c>
    </row>
    <row r="7" ht="26.39999961853027" customHeight="1" s="30">
      <c r="A7" s="27" t="inlineStr">
        <is>
          <t>Closing CaseSpace</t>
        </is>
      </c>
      <c r="B7" s="27" t="inlineStr">
        <is>
          <t>Leaf</t>
        </is>
      </c>
      <c r="C7" s="27" t="inlineStr">
        <is>
          <t>Finite child: turnover, permit lane, grant submission, release, invoice, incident, policy update, request, or handoff.</t>
        </is>
      </c>
      <c r="D7" s="27" t="inlineStr">
        <is>
          <t>Doctrine</t>
        </is>
      </c>
    </row>
    <row r="8" ht="26.39999961853027" customHeight="1" s="30">
      <c r="A8" s="27" t="inlineStr">
        <is>
          <t>Seal-Upward Rule</t>
        </is>
      </c>
      <c r="B8" s="27" t="inlineStr">
        <is>
          <t>Closing → Standing</t>
        </is>
      </c>
      <c r="C8" s="27" t="inlineStr">
        <is>
          <t>Closing work resolves and seals upward into its standing parent as a referenceable proof package. It does not mutate parent truth.</t>
        </is>
      </c>
      <c r="D8" s="27" t="inlineStr">
        <is>
          <t>Moat</t>
        </is>
      </c>
    </row>
    <row r="9" ht="26.39999961853027" customHeight="1" s="30">
      <c r="A9" s="27" t="inlineStr">
        <is>
          <t>Surface-not-State Rule</t>
        </is>
      </c>
      <c r="B9" s="27" t="inlineStr">
        <is>
          <t>External tools are signals/surfaces</t>
        </is>
      </c>
      <c r="C9" s="27" t="inlineStr">
        <is>
          <t>Email, Drive, PMS, CRM, permitting, grant, and finance systems can inform a CaseSpace. They are not the canonical PJ state.</t>
        </is>
      </c>
      <c r="D9" s="27" t="inlineStr">
        <is>
          <t>Moat</t>
        </is>
      </c>
    </row>
    <row r="10" ht="26.39999961853027" customHeight="1" s="30">
      <c r="A10" s="27" t="inlineStr">
        <is>
          <t>Non-Replacement Rule</t>
        </is>
      </c>
      <c r="B10" s="27" t="inlineStr">
        <is>
          <t>Do not become their system of record</t>
        </is>
      </c>
      <c r="C10" s="27" t="inlineStr">
        <is>
          <t>PublicLogic makes work ready, visible, portable, and provable across systems without asking clients to rip and replace.</t>
        </is>
      </c>
      <c r="D10" s="27" t="inlineStr">
        <is>
          <t>Partner-safe</t>
        </is>
      </c>
    </row>
    <row r="11" ht="26.39999961853027" customHeight="1" s="30">
      <c r="A11" s="27" t="inlineStr">
        <is>
          <t>PJ Lite Rule</t>
        </is>
      </c>
      <c r="B11" s="27" t="inlineStr">
        <is>
          <t>Smaller at the edge, not smaller in ambition</t>
        </is>
      </c>
      <c r="C11" s="27" t="inlineStr">
        <is>
          <t>Client sees Path Sheet, CaseSpace, Next Steps, Record. Runtime language stays behind the curtain.</t>
        </is>
      </c>
      <c r="D11" s="27" t="inlineStr">
        <is>
          <t>Client-safe</t>
        </is>
      </c>
    </row>
    <row r="12" ht="26.39999961853027" customHeight="1" s="30">
      <c r="A12" s="27" t="inlineStr">
        <is>
          <t>All Doors Rule</t>
        </is>
      </c>
      <c r="B12" s="27" t="inlineStr">
        <is>
          <t>Capture → Classify → Advance → Seal</t>
        </is>
      </c>
      <c r="C12" s="27" t="inlineStr">
        <is>
          <t>Every work pack uses the same four-action loop and same CaseSpace recordstream.</t>
        </is>
      </c>
      <c r="D12" s="27" t="inlineStr">
        <is>
          <t>Doctrine</t>
        </is>
      </c>
    </row>
    <row r="13" ht="26.39999961853027" customHeight="1" s="30">
      <c r="A13" s="27" t="inlineStr">
        <is>
          <t>Work Library Rule</t>
        </is>
      </c>
      <c r="B13" s="27" t="inlineStr">
        <is>
          <t>Templates + tools + information, not products</t>
        </is>
      </c>
      <c r="C13" s="27" t="inlineStr">
        <is>
          <t>The library is templates (structures), tools (generators, lane pickers, dashboards), and information (law-aware references). No single work pack — time &amp; attendance included — is the output.</t>
        </is>
      </c>
      <c r="D13" s="27" t="inlineStr">
        <is>
          <t>Doctrine</t>
        </is>
      </c>
    </row>
    <row r="14" ht="26.39999961853027" customHeight="1" s="30">
      <c r="A14" s="27" t="inlineStr">
        <is>
          <t>Stewardship Rule</t>
        </is>
      </c>
      <c r="B14" s="27" t="inlineStr">
        <is>
          <t>Human-supported library upkeep</t>
        </is>
      </c>
      <c r="C14" s="27" t="inlineStr">
        <is>
          <t>PublicLogic maintains templates, handoffs, readiness logic, and continuity records so the system stays usable after launch.</t>
        </is>
      </c>
      <c r="D14" s="27" t="inlineStr">
        <is>
          <t>Moat</t>
        </is>
      </c>
    </row>
    <row r="15" ht="26.39999961853027" customHeight="1" s="30">
      <c r="A15" s="27" t="inlineStr">
        <is>
          <t>Counsel-Ready Rule</t>
        </is>
      </c>
      <c r="B15" s="27" t="inlineStr">
        <is>
          <t>No legal advice / no determinations</t>
        </is>
      </c>
      <c r="C15" s="27" t="inlineStr">
        <is>
          <t>Templates organize facts, rules, documents, deadlines, authority questions, and proof so counsel, officials, staff, or decision-makers can act from a cleaner record.</t>
        </is>
      </c>
      <c r="D15" s="27" t="inlineStr">
        <is>
          <t>Legal fence</t>
        </is>
      </c>
    </row>
    <row r="16" ht="26.39999961853027" customHeight="1" s="30">
      <c r="A16" s="27" t="inlineStr">
        <is>
          <t>Competitive Rule</t>
        </is>
      </c>
      <c r="B16" s="27" t="inlineStr">
        <is>
          <t>Doctrine beats vocabulary</t>
        </is>
      </c>
      <c r="C16" s="27" t="inlineStr">
        <is>
          <t>Do not lead with commoditizing words like audit trail or institutional memory. Lead with the primitive, seal-upward architecture, non-replacement discipline, and stewardship.</t>
        </is>
      </c>
      <c r="D16" s="27" t="inlineStr">
        <is>
          <t>Positioning</t>
        </is>
      </c>
    </row>
    <row r="17">
      <c r="A17" s="27" t="inlineStr">
        <is>
          <t>Composer Rule</t>
        </is>
      </c>
      <c r="B17" s="27" t="inlineStr">
        <is>
          <t>User builds; PublicLogic takes it from there</t>
        </is>
      </c>
      <c r="C17" s="27" t="inlineStr">
        <is>
          <t>Users assemble their own experience from templates, tools, and information. PublicLogic stands up the CaseSpace — for a single user or a duo — runs the runtime, and maintains continuity from there.</t>
        </is>
      </c>
      <c r="D17" s="27" t="inlineStr">
        <is>
          <t>Moat</t>
        </is>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style="30" min="1" max="1"/>
    <col width="28" customWidth="1" style="30" min="2" max="2"/>
    <col width="44" customWidth="1" style="30" min="3" max="3"/>
    <col width="44" customWidth="1" style="30" min="4" max="4"/>
    <col width="34" customWidth="1" style="30" min="5" max="5"/>
    <col width="44" customWidth="1" style="30" min="6" max="6"/>
  </cols>
  <sheetData>
    <row r="1" ht="30" customHeight="1" s="30">
      <c r="A1" s="4" t="inlineStr">
        <is>
          <t>Permanent Problems — What Every Template Must Fix</t>
        </is>
      </c>
      <c r="B1" s="4" t="n"/>
      <c r="C1" s="4" t="n"/>
      <c r="D1" s="4" t="n"/>
      <c r="E1" s="4" t="n"/>
      <c r="F1" s="4" t="n"/>
    </row>
    <row r="2" ht="30" customHeight="1" s="30">
      <c r="A2" s="10" t="inlineStr">
        <is>
          <t>The workbook is anchored on two market problems: simpler AI/search paths and no human bridge between every system.</t>
        </is>
      </c>
      <c r="B2" s="10" t="n"/>
      <c r="C2" s="10" t="n"/>
      <c r="D2" s="10" t="n"/>
      <c r="E2" s="10" t="n"/>
      <c r="F2" s="10" t="n"/>
    </row>
    <row r="4">
      <c r="A4" s="26" t="inlineStr">
        <is>
          <t>ID</t>
        </is>
      </c>
      <c r="B4" s="26" t="inlineStr">
        <is>
          <t>Problem</t>
        </is>
      </c>
      <c r="C4" s="26" t="inlineStr">
        <is>
          <t>Observed Signal</t>
        </is>
      </c>
      <c r="D4" s="26" t="inlineStr">
        <is>
          <t>Template Requirement</t>
        </is>
      </c>
      <c r="E4" s="26" t="inlineStr">
        <is>
          <t>Do Not Build</t>
        </is>
      </c>
      <c r="F4" s="26" t="inlineStr">
        <is>
          <t>Proof of Fix</t>
        </is>
      </c>
    </row>
    <row r="5">
      <c r="A5" s="27" t="inlineStr">
        <is>
          <t>P-001</t>
        </is>
      </c>
      <c r="B5" s="27" t="inlineStr">
        <is>
          <t>Simpler AI / Search Path</t>
        </is>
      </c>
      <c r="C5" s="27" t="inlineStr">
        <is>
          <t>Operator should not have to think about SQL, vectors, prompts, or search plumbing.</t>
        </is>
      </c>
      <c r="D5" s="27" t="inlineStr">
        <is>
          <t>Template must define searchable fields, record homes, proof events, and retrieval surfaces.</t>
        </is>
      </c>
      <c r="E5" s="27" t="inlineStr">
        <is>
          <t>Do not build vague AI layer.</t>
        </is>
      </c>
      <c r="F5" s="27" t="inlineStr">
        <is>
          <t>Can retrieve the record and explain what is missing/next.</t>
        </is>
      </c>
    </row>
    <row r="6">
      <c r="A6" s="27" t="inlineStr">
        <is>
          <t>P-002</t>
        </is>
      </c>
      <c r="B6" s="27" t="inlineStr">
        <is>
          <t>No Human Bridge Between Systems</t>
        </is>
      </c>
      <c r="C6" s="27" t="inlineStr">
        <is>
          <t>Operator should not babysit exports, re-key data, or manually glue tools together.</t>
        </is>
      </c>
      <c r="D6" s="27" t="inlineStr">
        <is>
          <t>Template must name the manual bridge removed and the CaseSpace event replacing it.</t>
        </is>
      </c>
      <c r="E6" s="27" t="inlineStr">
        <is>
          <t>Do not build another dashboard that still requires re-entry.</t>
        </is>
      </c>
      <c r="F6" s="27" t="inlineStr">
        <is>
          <t>CaseSpace event replaces handoff/re-entry or makes bridge visible.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style="30" min="1" max="1"/>
    <col width="44" customWidth="1" style="30" min="2" max="2"/>
    <col width="80" customWidth="1" style="30" min="3" max="3"/>
  </cols>
  <sheetData>
    <row r="1" ht="30" customHeight="1" s="30">
      <c r="A1" s="4" t="inlineStr">
        <is>
          <t>PJ Lite — The Client Experience</t>
        </is>
      </c>
      <c r="B1" s="4" t="n"/>
      <c r="C1" s="4" t="n"/>
      <c r="D1" s="4" t="n"/>
      <c r="E1" s="4" t="n"/>
      <c r="F1" s="4" t="n"/>
    </row>
    <row r="2" ht="30" customHeight="1" s="30">
      <c r="A2" s="10" t="inlineStr">
        <is>
          <t>The quiet workbench: PuddleJumper does the governing; the client sees a plain path, documents, what's next, and what was decided.</t>
        </is>
      </c>
      <c r="B2" s="10" t="n"/>
      <c r="C2" s="10" t="n"/>
      <c r="D2" s="10" t="n"/>
      <c r="E2" s="10" t="n"/>
      <c r="F2" s="10" t="n"/>
    </row>
    <row r="4">
      <c r="A4" s="26" t="inlineStr">
        <is>
          <t>Section</t>
        </is>
      </c>
      <c r="B4" s="26" t="inlineStr">
        <is>
          <t>Doctrine</t>
        </is>
      </c>
      <c r="C4" s="26" t="inlineStr">
        <is>
          <t>Client-Safe Meaning</t>
        </is>
      </c>
    </row>
    <row r="5">
      <c r="A5" s="27" t="inlineStr">
        <is>
          <t>One Rule</t>
        </is>
      </c>
      <c r="B5" s="27" t="inlineStr">
        <is>
          <t>Do not sell or explain PJ. Sell the outcome.</t>
        </is>
      </c>
      <c r="C5" s="27" t="inlineStr">
        <is>
          <t>We organize the work into one record, show what has to happen next, keep the documents straight, and make sure nothing important gets lost.</t>
        </is>
      </c>
    </row>
    <row r="6">
      <c r="A6" s="27" t="inlineStr">
        <is>
          <t>Four Questions</t>
        </is>
      </c>
      <c r="B6" s="27" t="inlineStr">
        <is>
          <t>What are we trying to get done? What do we know? What is missing? What happens next?</t>
        </is>
      </c>
      <c r="C6" s="27" t="inlineStr">
        <is>
          <t>Every client screen should reduce uncertainty.</t>
        </is>
      </c>
    </row>
    <row r="7">
      <c r="A7" s="27" t="inlineStr">
        <is>
          <t>Client Flow</t>
        </is>
      </c>
      <c r="B7" s="27" t="inlineStr">
        <is>
          <t>Intake → Path Sheet → CaseSpace → Next Steps → Record</t>
        </is>
      </c>
      <c r="C7" s="27" t="inlineStr">
        <is>
          <t>Same beats for STAY, MUNI, BIZ, GRANT, LIVE, HOME, PEOPLE, and Permit &amp; Bridge.</t>
        </is>
      </c>
    </row>
    <row r="8">
      <c r="A8" s="27" t="inlineStr">
        <is>
          <t>Client Language</t>
        </is>
      </c>
      <c r="B8" s="27" t="inlineStr">
        <is>
          <t>Path Sheet; CaseSpace; Next Steps; Record</t>
        </is>
      </c>
      <c r="C8" s="27" t="inlineStr">
        <is>
          <t>No runtime, VAULT, CAL, PRM, Module Maker, governed process spine.</t>
        </is>
      </c>
    </row>
    <row r="9">
      <c r="A9" s="27" t="inlineStr">
        <is>
          <t>Free Tool Boundary</t>
        </is>
      </c>
      <c r="B9" s="27" t="inlineStr">
        <is>
          <t>First-pass Path Sheet only</t>
        </is>
      </c>
      <c r="C9" s="27" t="inlineStr">
        <is>
          <t>It says what probably has to be true before this can move. It does not solve the whole matter.</t>
        </is>
      </c>
    </row>
    <row r="10">
      <c r="A10" s="27" t="inlineStr">
        <is>
          <t>Promise</t>
        </is>
      </c>
      <c r="B10" s="27" t="inlineStr">
        <is>
          <t>Nothing gets lost</t>
        </is>
      </c>
      <c r="C10" s="27" t="inlineStr">
        <is>
          <t>The client should know where the document is, who owns it, what is next, and what was decided.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4" customWidth="1" style="30" min="1" max="1"/>
    <col width="32" customWidth="1" style="30" min="2" max="2"/>
    <col width="16" customWidth="1" style="30" min="3" max="3"/>
    <col width="60" customWidth="1" style="30" min="4" max="4"/>
    <col width="18" customWidth="1" style="30" min="5" max="5"/>
    <col width="20" customWidth="1" style="30" min="6" max="6"/>
  </cols>
  <sheetData>
    <row r="1" ht="30" customHeight="1" s="30">
      <c r="A1" s="4" t="inlineStr">
        <is>
          <t>CaseSpace Schema — Standing + Closing</t>
        </is>
      </c>
      <c r="B1" s="4" t="n"/>
      <c r="C1" s="4" t="n"/>
      <c r="D1" s="4" t="n"/>
      <c r="E1" s="4" t="n"/>
      <c r="F1" s="4" t="n"/>
    </row>
    <row r="2" ht="30" customHeight="1" s="30">
      <c r="A2" s="10" t="inlineStr">
        <is>
          <t>Required fields for the same record model behind every door.</t>
        </is>
      </c>
      <c r="B2" s="10" t="n"/>
      <c r="C2" s="10" t="n"/>
      <c r="D2" s="10" t="n"/>
      <c r="E2" s="10" t="n"/>
      <c r="F2" s="10" t="n"/>
    </row>
    <row r="4">
      <c r="A4" s="26" t="inlineStr">
        <is>
          <t>Field</t>
        </is>
      </c>
      <c r="B4" s="26" t="inlineStr">
        <is>
          <t>Allowed Values</t>
        </is>
      </c>
      <c r="C4" s="26" t="inlineStr">
        <is>
          <t>Applies To</t>
        </is>
      </c>
      <c r="D4" s="26" t="inlineStr">
        <is>
          <t>Meaning</t>
        </is>
      </c>
      <c r="E4" s="26" t="inlineStr">
        <is>
          <t>Requirement</t>
        </is>
      </c>
      <c r="F4" s="26" t="inlineStr">
        <is>
          <t>Visibility</t>
        </is>
      </c>
    </row>
    <row r="5">
      <c r="A5" s="27" t="inlineStr">
        <is>
          <t>case_id</t>
        </is>
      </c>
      <c r="B5" s="27" t="inlineStr">
        <is>
          <t>string</t>
        </is>
      </c>
      <c r="C5" s="27" t="inlineStr">
        <is>
          <t>closing or standing</t>
        </is>
      </c>
      <c r="D5" s="27" t="inlineStr">
        <is>
          <t>Unique CaseSpace identifier</t>
        </is>
      </c>
      <c r="E5" s="27" t="inlineStr">
        <is>
          <t>Required</t>
        </is>
      </c>
      <c r="F5" s="27" t="inlineStr">
        <is>
          <t>Internal</t>
        </is>
      </c>
    </row>
    <row r="6">
      <c r="A6" s="27" t="inlineStr">
        <is>
          <t>case_type</t>
        </is>
      </c>
      <c r="B6" s="27" t="inlineStr">
        <is>
          <t>standing | closing</t>
        </is>
      </c>
      <c r="C6" s="27" t="inlineStr">
        <is>
          <t>both</t>
        </is>
      </c>
      <c r="D6" s="27" t="inlineStr">
        <is>
          <t>Proof-axis distinction; standing contains closing children</t>
        </is>
      </c>
      <c r="E6" s="27" t="inlineStr">
        <is>
          <t>Required</t>
        </is>
      </c>
      <c r="F6" s="27" t="inlineStr">
        <is>
          <t>Doctrine</t>
        </is>
      </c>
    </row>
    <row r="7">
      <c r="A7" s="27" t="inlineStr">
        <is>
          <t>family</t>
        </is>
      </c>
      <c r="B7" s="27" t="inlineStr">
        <is>
          <t>STAY/MUNI/BIZ/GRANT/LIVE/HOME/PEOPLE/OPS/etc.</t>
        </is>
      </c>
      <c r="C7" s="27" t="inlineStr">
        <is>
          <t>both</t>
        </is>
      </c>
      <c r="D7" s="27" t="inlineStr">
        <is>
          <t>Skin/template family</t>
        </is>
      </c>
      <c r="E7" s="27" t="inlineStr">
        <is>
          <t>Required</t>
        </is>
      </c>
      <c r="F7" s="27" t="inlineStr">
        <is>
          <t>Client-safe if needed</t>
        </is>
      </c>
    </row>
    <row r="8">
      <c r="A8" s="27" t="inlineStr">
        <is>
          <t>parent_case_id</t>
        </is>
      </c>
      <c r="B8" s="27" t="inlineStr">
        <is>
          <t>string/null</t>
        </is>
      </c>
      <c r="C8" s="27" t="inlineStr">
        <is>
          <t>closing</t>
        </is>
      </c>
      <c r="D8" s="27" t="inlineStr">
        <is>
          <t>Standing parent for child/leaf cases</t>
        </is>
      </c>
      <c r="E8" s="27" t="inlineStr">
        <is>
          <t>Required for closing</t>
        </is>
      </c>
      <c r="F8" s="27" t="inlineStr">
        <is>
          <t>Internal</t>
        </is>
      </c>
    </row>
    <row r="9">
      <c r="A9" s="27" t="inlineStr">
        <is>
          <t>desired_outcome</t>
        </is>
      </c>
      <c r="B9" s="27" t="inlineStr">
        <is>
          <t>text</t>
        </is>
      </c>
      <c r="C9" s="27" t="inlineStr">
        <is>
          <t>both</t>
        </is>
      </c>
      <c r="D9" s="27" t="inlineStr">
        <is>
          <t>What are we trying to get done?</t>
        </is>
      </c>
      <c r="E9" s="27" t="inlineStr">
        <is>
          <t>Required</t>
        </is>
      </c>
      <c r="F9" s="27" t="inlineStr">
        <is>
          <t>Client</t>
        </is>
      </c>
    </row>
    <row r="10">
      <c r="A10" s="27" t="inlineStr">
        <is>
          <t>known_facts</t>
        </is>
      </c>
      <c r="B10" s="27" t="inlineStr">
        <is>
          <t>array</t>
        </is>
      </c>
      <c r="C10" s="27" t="inlineStr">
        <is>
          <t>both</t>
        </is>
      </c>
      <c r="D10" s="27" t="inlineStr">
        <is>
          <t>What do we know?</t>
        </is>
      </c>
      <c r="E10" s="27" t="inlineStr">
        <is>
          <t>Required</t>
        </is>
      </c>
      <c r="F10" s="27" t="inlineStr">
        <is>
          <t>Client</t>
        </is>
      </c>
    </row>
    <row r="11">
      <c r="A11" s="27" t="inlineStr">
        <is>
          <t>missing_facts</t>
        </is>
      </c>
      <c r="B11" s="27" t="inlineStr">
        <is>
          <t>array</t>
        </is>
      </c>
      <c r="C11" s="27" t="inlineStr">
        <is>
          <t>both</t>
        </is>
      </c>
      <c r="D11" s="27" t="inlineStr">
        <is>
          <t>What is missing?</t>
        </is>
      </c>
      <c r="E11" s="27" t="inlineStr">
        <is>
          <t>Required</t>
        </is>
      </c>
      <c r="F11" s="27" t="inlineStr">
        <is>
          <t>Client</t>
        </is>
      </c>
    </row>
    <row r="12">
      <c r="A12" s="27" t="inlineStr">
        <is>
          <t>documents_needed</t>
        </is>
      </c>
      <c r="B12" s="27" t="inlineStr">
        <is>
          <t>array</t>
        </is>
      </c>
      <c r="C12" s="27" t="inlineStr">
        <is>
          <t>both</t>
        </is>
      </c>
      <c r="D12" s="27" t="inlineStr">
        <is>
          <t>Needed documents/evidence</t>
        </is>
      </c>
      <c r="E12" s="27" t="inlineStr">
        <is>
          <t>Required</t>
        </is>
      </c>
      <c r="F12" s="27" t="inlineStr">
        <is>
          <t>Client</t>
        </is>
      </c>
    </row>
    <row r="13">
      <c r="A13" s="27" t="inlineStr">
        <is>
          <t>next_steps</t>
        </is>
      </c>
      <c r="B13" s="27" t="inlineStr">
        <is>
          <t>array</t>
        </is>
      </c>
      <c r="C13" s="27" t="inlineStr">
        <is>
          <t>both</t>
        </is>
      </c>
      <c r="D13" s="27" t="inlineStr">
        <is>
          <t>What happens next?</t>
        </is>
      </c>
      <c r="E13" s="27" t="inlineStr">
        <is>
          <t>Required</t>
        </is>
      </c>
      <c r="F13" s="27" t="inlineStr">
        <is>
          <t>Client</t>
        </is>
      </c>
    </row>
    <row r="14">
      <c r="A14" s="27" t="inlineStr">
        <is>
          <t>decisions</t>
        </is>
      </c>
      <c r="B14" s="27" t="inlineStr">
        <is>
          <t>array</t>
        </is>
      </c>
      <c r="C14" s="27" t="inlineStr">
        <is>
          <t>both</t>
        </is>
      </c>
      <c r="D14" s="27" t="inlineStr">
        <is>
          <t>What was decided and by whom</t>
        </is>
      </c>
      <c r="E14" s="27" t="inlineStr">
        <is>
          <t>Required</t>
        </is>
      </c>
      <c r="F14" s="27" t="inlineStr">
        <is>
          <t>Client</t>
        </is>
      </c>
    </row>
    <row r="15">
      <c r="A15" s="27" t="inlineStr">
        <is>
          <t>proof_events</t>
        </is>
      </c>
      <c r="B15" s="27" t="inlineStr">
        <is>
          <t>array</t>
        </is>
      </c>
      <c r="C15" s="27" t="inlineStr">
        <is>
          <t>closing</t>
        </is>
      </c>
      <c r="D15" s="27" t="inlineStr">
        <is>
          <t>Capture/advance/seal proof events</t>
        </is>
      </c>
      <c r="E15" s="27" t="inlineStr">
        <is>
          <t>Required</t>
        </is>
      </c>
      <c r="F15" s="27" t="inlineStr">
        <is>
          <t>Internal/client record</t>
        </is>
      </c>
    </row>
    <row r="16">
      <c r="A16" s="27" t="inlineStr">
        <is>
          <t>bridge_score</t>
        </is>
      </c>
      <c r="B16" s="27" t="inlineStr">
        <is>
          <t>number</t>
        </is>
      </c>
      <c r="C16" s="27" t="inlineStr">
        <is>
          <t>both</t>
        </is>
      </c>
      <c r="D16" s="27" t="inlineStr">
        <is>
          <t>Systems + manual re-entry + people + risk + missing proof</t>
        </is>
      </c>
      <c r="E16" s="27" t="inlineStr">
        <is>
          <t>Recommended</t>
        </is>
      </c>
      <c r="F16" s="27" t="inlineStr">
        <is>
          <t>Client</t>
        </is>
      </c>
    </row>
    <row r="17">
      <c r="A17" s="27" t="inlineStr">
        <is>
          <t>seal_status</t>
        </is>
      </c>
      <c r="B17" s="27" t="inlineStr">
        <is>
          <t>open/sealed/rolled_up</t>
        </is>
      </c>
      <c r="C17" s="27" t="inlineStr">
        <is>
          <t>closing</t>
        </is>
      </c>
      <c r="D17" s="27" t="inlineStr">
        <is>
          <t>ARCHIEVE closeout state</t>
        </is>
      </c>
      <c r="E17" s="27" t="inlineStr">
        <is>
          <t>Required</t>
        </is>
      </c>
      <c r="F17" s="27" t="inlineStr">
        <is>
          <t>Internal/client record</t>
        </is>
      </c>
    </row>
    <row r="18">
      <c r="A18" s="27" t="inlineStr">
        <is>
          <t>rollup_view</t>
        </is>
      </c>
      <c r="B18" s="27" t="inlineStr">
        <is>
          <t>array/ref</t>
        </is>
      </c>
      <c r="C18" s="27" t="inlineStr">
        <is>
          <t>standing</t>
        </is>
      </c>
      <c r="D18" s="27" t="inlineStr">
        <is>
          <t>References sealed children without mutating parent truth</t>
        </is>
      </c>
      <c r="E18" s="27" t="inlineStr">
        <is>
          <t>Required</t>
        </is>
      </c>
      <c r="F18" s="27" t="inlineStr">
        <is>
          <t>Doctrine</t>
        </is>
      </c>
    </row>
    <row r="19">
      <c r="A19" s="27" t="inlineStr">
        <is>
          <t>owners</t>
        </is>
      </c>
      <c r="B19" s="27" t="inlineStr">
        <is>
          <t>1-2 authenticated users; scales to team/department</t>
        </is>
      </c>
      <c r="C19" s="27" t="inlineStr">
        <is>
          <t>both</t>
        </is>
      </c>
      <c r="D19" s="27" t="inlineStr">
        <is>
          <t>Who owns this CaseSpace. Floor is a single user or a duo on one shared CaseSpace — no department required.</t>
        </is>
      </c>
      <c r="E19" s="27" t="inlineStr">
        <is>
          <t>Required</t>
        </is>
      </c>
      <c r="F19" s="27" t="inlineStr">
        <is>
          <t>Internal</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cols>
    <col width="10" customWidth="1" style="30" min="1" max="1"/>
    <col width="12" customWidth="1" style="30" min="2" max="2"/>
    <col width="26" customWidth="1" style="30" min="3" max="3"/>
    <col width="24" customWidth="1" style="30" min="4" max="4"/>
    <col width="24" customWidth="1" style="30" min="5" max="5"/>
    <col width="38" customWidth="1" style="30" min="6" max="6"/>
    <col width="30" customWidth="1" style="30" min="7" max="7"/>
    <col width="36" customWidth="1" style="30" min="8" max="8"/>
    <col width="26" customWidth="1" style="30" min="9" max="9"/>
    <col width="30" customWidth="1" style="30" min="10" max="10"/>
    <col width="32" customWidth="1" style="30" min="11" max="11"/>
    <col width="26" customWidth="1" style="30" min="12" max="12"/>
    <col width="14" customWidth="1" style="30" min="13" max="13"/>
    <col width="10" customWidth="1" style="30" min="14" max="14"/>
    <col width="40" customWidth="1" style="30" min="15" max="15"/>
    <col width="15" customWidth="1" style="30" min="16" max="16"/>
  </cols>
  <sheetData>
    <row r="1" ht="100.8000030517578" customHeight="1" s="30">
      <c r="A1" s="51" t="inlineStr">
        <is>
          <t>Series 1 Templates — Governed Work Library</t>
        </is>
      </c>
      <c r="B1" s="1" t="n"/>
      <c r="C1" s="1" t="n"/>
      <c r="D1" s="1" t="n"/>
      <c r="E1" s="1" t="n"/>
      <c r="F1" s="1" t="n"/>
      <c r="G1" s="1" t="n"/>
      <c r="H1" s="1" t="n"/>
      <c r="I1" s="1" t="n"/>
      <c r="J1" s="1" t="n"/>
      <c r="K1" s="1" t="n"/>
      <c r="L1" s="1" t="n"/>
      <c r="M1" s="1" t="n"/>
      <c r="N1" s="1" t="n"/>
      <c r="O1" s="1" t="n"/>
      <c r="P1" s="1" t="n"/>
    </row>
    <row r="2" ht="132" customHeight="1" s="30">
      <c r="A2" s="52" t="inlineStr">
        <is>
          <t>The first ready-to-run governed work library. Every template opens a live CaseSpace; none is a replacement product.</t>
        </is>
      </c>
      <c r="B2" s="1" t="n"/>
      <c r="C2" s="1" t="n"/>
      <c r="D2" s="1" t="n"/>
      <c r="E2" s="1" t="n"/>
      <c r="F2" s="1" t="n"/>
      <c r="G2" s="1" t="n"/>
      <c r="H2" s="1" t="n"/>
      <c r="I2" s="1" t="n"/>
      <c r="J2" s="1" t="n"/>
      <c r="K2" s="1" t="n"/>
      <c r="L2" s="1" t="n"/>
      <c r="M2" s="1" t="n"/>
      <c r="N2" s="1" t="n"/>
      <c r="O2" s="1" t="n"/>
      <c r="P2" s="1" t="n"/>
    </row>
    <row r="3" ht="15" customHeight="1" s="30"/>
    <row r="4" ht="15" customHeight="1" s="30">
      <c r="A4" s="38" t="inlineStr">
        <is>
          <t>ID</t>
        </is>
      </c>
      <c r="B4" s="38" t="inlineStr">
        <is>
          <t>Family</t>
        </is>
      </c>
      <c r="C4" s="38" t="inlineStr">
        <is>
          <t>Template / Entry</t>
        </is>
      </c>
      <c r="D4" s="38" t="inlineStr">
        <is>
          <t>Work Pack</t>
        </is>
      </c>
      <c r="E4" s="38" t="inlineStr">
        <is>
          <t>Standing Parent</t>
        </is>
      </c>
      <c r="F4" s="38" t="inlineStr">
        <is>
          <t>Closing Children</t>
        </is>
      </c>
      <c r="G4" s="38" t="inlineStr">
        <is>
          <t>Primary Use</t>
        </is>
      </c>
      <c r="H4" s="38" t="inlineStr">
        <is>
          <t>Capture Triggers</t>
        </is>
      </c>
      <c r="I4" s="38" t="inlineStr">
        <is>
          <t>Classify Via</t>
        </is>
      </c>
      <c r="J4" s="38" t="inlineStr">
        <is>
          <t>Advance Gate</t>
        </is>
      </c>
      <c r="K4" s="38" t="inlineStr">
        <is>
          <t>Seal / Proof Output</t>
        </is>
      </c>
      <c r="L4" s="38" t="inlineStr">
        <is>
          <t>Dashboard</t>
        </is>
      </c>
      <c r="M4" s="38" t="inlineStr">
        <is>
          <t>Status</t>
        </is>
      </c>
      <c r="N4" s="38" t="inlineStr">
        <is>
          <t>Priority</t>
        </is>
      </c>
      <c r="O4" s="38" t="inlineStr">
        <is>
          <t>Notes</t>
        </is>
      </c>
      <c r="P4" s="38" t="inlineStr">
        <is>
          <t>Track</t>
        </is>
      </c>
    </row>
    <row r="5" ht="26.39999961853027" customHeight="1" s="30">
      <c r="A5" s="27" t="inlineStr">
        <is>
          <t>S1-001</t>
        </is>
      </c>
      <c r="B5" s="27" t="inlineStr">
        <is>
          <t>ALL</t>
        </is>
      </c>
      <c r="C5" s="27" t="inlineStr">
        <is>
          <t>Path Sheet Entry</t>
        </is>
      </c>
      <c r="D5" s="27" t="inlineStr">
        <is>
          <t>CaseSpace Entry</t>
        </is>
      </c>
      <c r="E5" s="27" t="inlineStr">
        <is>
          <t>Matter / Opportunity</t>
        </is>
      </c>
      <c r="F5" s="27" t="inlineStr">
        <is>
          <t>Path Sheet; Quick Review</t>
        </is>
      </c>
      <c r="G5" s="27" t="inlineStr">
        <is>
          <t>Prospect/client triage</t>
        </is>
      </c>
      <c r="H5" s="27" t="inlineStr">
        <is>
          <t>messy facts, docs, links, screenshots</t>
        </is>
      </c>
      <c r="I5" s="27" t="inlineStr">
        <is>
          <t>Path Sheet family + risk lanes</t>
        </is>
      </c>
      <c r="J5" s="27" t="inlineStr">
        <is>
          <t>Bridge Rating + recommended next step</t>
        </is>
      </c>
      <c r="K5" s="27" t="inlineStr">
        <is>
          <t>Path Sheet PDF; CaseSpace seed JSON</t>
        </is>
      </c>
      <c r="L5" s="27" t="inlineStr">
        <is>
          <t>Client: Path Sheet; Operator: Intake</t>
        </is>
      </c>
      <c r="M5" s="27" t="inlineStr">
        <is>
          <t>Ratified</t>
        </is>
      </c>
      <c r="N5" s="27" t="inlineStr">
        <is>
          <t>P0</t>
        </is>
      </c>
      <c r="O5" s="27" t="inlineStr">
        <is>
          <t>Demo first; avoid 'front door' language</t>
        </is>
      </c>
      <c r="P5" s="27" t="inlineStr">
        <is>
          <t>Launch Door</t>
        </is>
      </c>
    </row>
    <row r="6" ht="15" customHeight="1" s="30">
      <c r="A6" s="27" t="inlineStr">
        <is>
          <t>S1-002</t>
        </is>
      </c>
      <c r="B6" s="27" t="inlineStr">
        <is>
          <t>MUNI</t>
        </is>
      </c>
      <c r="C6" s="27" t="inlineStr">
        <is>
          <t>Permit &amp; Bridge</t>
        </is>
      </c>
      <c r="D6" s="27" t="inlineStr">
        <is>
          <t>MUNI Work Pack</t>
        </is>
      </c>
      <c r="E6" s="27" t="inlineStr">
        <is>
          <t>Applicant / Site / Project</t>
        </is>
      </c>
      <c r="F6" s="27" t="inlineStr">
        <is>
          <t>Lane Review; Missing Fact; Agency Question; Draft Filing</t>
        </is>
      </c>
      <c r="G6" s="27" t="inlineStr">
        <is>
          <t>Municipal/project readiness</t>
        </is>
      </c>
      <c r="H6" s="27" t="inlineStr">
        <is>
          <t>parcel, use, authority, docs, deadlines</t>
        </is>
      </c>
      <c r="I6" s="27" t="inlineStr">
        <is>
          <t>permit/board/agency lanes</t>
        </is>
      </c>
      <c r="J6" s="27" t="inlineStr">
        <is>
          <t>lane gate + authority check</t>
        </is>
      </c>
      <c r="K6" s="27" t="inlineStr">
        <is>
          <t>Path Sheet; Bridge Package; submission record</t>
        </is>
      </c>
      <c r="L6" s="27" t="inlineStr">
        <is>
          <t>Permit dashboard</t>
        </is>
      </c>
      <c r="M6" s="27" t="inlineStr">
        <is>
          <t>Ratified</t>
        </is>
      </c>
      <c r="N6" s="27" t="inlineStr">
        <is>
          <t>P0</t>
        </is>
      </c>
      <c r="O6" s="27" t="inlineStr">
        <is>
          <t>Readiness only; not permitting software</t>
        </is>
      </c>
      <c r="P6" s="27" t="inlineStr">
        <is>
          <t>Launch Door</t>
        </is>
      </c>
    </row>
    <row r="7" ht="15" customHeight="1" s="30">
      <c r="A7" s="27" t="inlineStr">
        <is>
          <t>S1-003</t>
        </is>
      </c>
      <c r="B7" s="27" t="inlineStr">
        <is>
          <t>GRANT</t>
        </is>
      </c>
      <c r="C7" s="27" t="inlineStr">
        <is>
          <t>Grant Readiness</t>
        </is>
      </c>
      <c r="D7" s="27" t="inlineStr">
        <is>
          <t>GRANT Work Pack</t>
        </is>
      </c>
      <c r="E7" s="27" t="inlineStr">
        <is>
          <t>Opportunity / Program</t>
        </is>
      </c>
      <c r="F7" s="27" t="inlineStr">
        <is>
          <t>Eligibility; Match; Partner; Budget; Narrative; Submission</t>
        </is>
      </c>
      <c r="G7" s="27" t="inlineStr">
        <is>
          <t>Grant before grant management</t>
        </is>
      </c>
      <c r="H7" s="27" t="inlineStr">
        <is>
          <t>NOFO, budget, partners, commitments</t>
        </is>
      </c>
      <c r="I7" s="27" t="inlineStr">
        <is>
          <t>eligibility + authority + evidence</t>
        </is>
      </c>
      <c r="J7" s="27" t="inlineStr">
        <is>
          <t>submission readiness gate</t>
        </is>
      </c>
      <c r="K7" s="27" t="inlineStr">
        <is>
          <t>application packet + submission proof</t>
        </is>
      </c>
      <c r="L7" s="27" t="inlineStr">
        <is>
          <t>Grant dashboard</t>
        </is>
      </c>
      <c r="M7" s="27" t="inlineStr">
        <is>
          <t>Ratified</t>
        </is>
      </c>
      <c r="N7" s="27" t="inlineStr">
        <is>
          <t>P0</t>
        </is>
      </c>
      <c r="O7" s="27" t="inlineStr">
        <is>
          <t>Strong PublicLogic lane</t>
        </is>
      </c>
      <c r="P7" s="27" t="inlineStr">
        <is>
          <t>Launch Door</t>
        </is>
      </c>
    </row>
    <row r="8" ht="26.39999961853027" customHeight="1" s="30">
      <c r="A8" s="27" t="inlineStr">
        <is>
          <t>S1-004</t>
        </is>
      </c>
      <c r="B8" s="27" t="inlineStr">
        <is>
          <t>STAY</t>
        </is>
      </c>
      <c r="C8" s="27" t="inlineStr">
        <is>
          <t>Property Memory</t>
        </is>
      </c>
      <c r="D8" s="27" t="inlineStr">
        <is>
          <t>STAY Work Pack</t>
        </is>
      </c>
      <c r="E8" s="27" t="inlineStr">
        <is>
          <t>Property</t>
        </is>
      </c>
      <c r="F8" s="27" t="inlineStr">
        <is>
          <t>Guest Stay; Turnover; Maintenance; Incident; Receipt</t>
        </is>
      </c>
      <c r="G8" s="27" t="inlineStr">
        <is>
          <t>Short-term-rental owner ops</t>
        </is>
      </c>
      <c r="H8" s="27" t="inlineStr">
        <is>
          <t>booking, cleaner, vendor, guest, receipts</t>
        </is>
      </c>
      <c r="I8" s="27" t="inlineStr">
        <is>
          <t>property + event type</t>
        </is>
      </c>
      <c r="J8" s="27" t="inlineStr">
        <is>
          <t>occupied/clean/repair conflict check</t>
        </is>
      </c>
      <c r="K8" s="27" t="inlineStr">
        <is>
          <t>turnover proof; incident/maintenance record</t>
        </is>
      </c>
      <c r="L8" s="27" t="inlineStr">
        <is>
          <t>STAY dashboard</t>
        </is>
      </c>
      <c r="M8" s="27" t="inlineStr">
        <is>
          <t>Ratified</t>
        </is>
      </c>
      <c r="N8" s="27" t="inlineStr">
        <is>
          <t>P0</t>
        </is>
      </c>
      <c r="O8" s="27" t="inlineStr">
        <is>
          <t>Kendall Pond proof lane; not PMS</t>
        </is>
      </c>
      <c r="P8" s="27" t="inlineStr">
        <is>
          <t>Launch Door</t>
        </is>
      </c>
    </row>
    <row r="9" ht="26.39999961853027" customHeight="1" s="30">
      <c r="A9" s="27" t="inlineStr">
        <is>
          <t>S1-005</t>
        </is>
      </c>
      <c r="B9" s="27" t="inlineStr">
        <is>
          <t>MUNI/BIZ</t>
        </is>
      </c>
      <c r="C9" s="27" t="inlineStr">
        <is>
          <t>Policy / SOP Stewardship</t>
        </is>
      </c>
      <c r="D9" s="27" t="inlineStr">
        <is>
          <t>Continuity Work Pack</t>
        </is>
      </c>
      <c r="E9" s="27" t="inlineStr">
        <is>
          <t>Department / Process</t>
        </is>
      </c>
      <c r="F9" s="27" t="inlineStr">
        <is>
          <t>Policy Change; SOP Update; Training; Acknowledgment</t>
        </is>
      </c>
      <c r="G9" s="27" t="inlineStr">
        <is>
          <t>Continuity and implementation support</t>
        </is>
      </c>
      <c r="H9" s="27" t="inlineStr">
        <is>
          <t>drafts, decisions, staff notes</t>
        </is>
      </c>
      <c r="I9" s="27" t="inlineStr">
        <is>
          <t>policy/process + owner</t>
        </is>
      </c>
      <c r="J9" s="27" t="inlineStr">
        <is>
          <t>approval/ratification gate</t>
        </is>
      </c>
      <c r="K9" s="27" t="inlineStr">
        <is>
          <t>ratified policy/SOP record</t>
        </is>
      </c>
      <c r="L9" s="27" t="inlineStr">
        <is>
          <t>Continuity dashboard</t>
        </is>
      </c>
      <c r="M9" s="27" t="inlineStr">
        <is>
          <t>Ratified</t>
        </is>
      </c>
      <c r="N9" s="27" t="inlineStr">
        <is>
          <t>P0</t>
        </is>
      </c>
      <c r="O9" s="27" t="inlineStr">
        <is>
          <t>Moved up: core stewardship moat</t>
        </is>
      </c>
      <c r="P9" s="27" t="inlineStr">
        <is>
          <t>Launch Door</t>
        </is>
      </c>
    </row>
    <row r="10" ht="26.39999961853027" customHeight="1" s="30">
      <c r="A10" s="27" t="inlineStr">
        <is>
          <t>S1-006</t>
        </is>
      </c>
      <c r="B10" s="27" t="inlineStr">
        <is>
          <t>ALL</t>
        </is>
      </c>
      <c r="C10" s="27" t="inlineStr">
        <is>
          <t>Quick Review</t>
        </is>
      </c>
      <c r="D10" s="27" t="inlineStr">
        <is>
          <t>PJ Lite Service</t>
        </is>
      </c>
      <c r="E10" s="27" t="inlineStr">
        <is>
          <t>Matter / Opportunity</t>
        </is>
      </c>
      <c r="F10" s="27" t="inlineStr">
        <is>
          <t>Document Review; Call Notes; Decision</t>
        </is>
      </c>
      <c r="G10" s="27" t="inlineStr">
        <is>
          <t>Prospect to paid review</t>
        </is>
      </c>
      <c r="H10" s="27" t="inlineStr">
        <is>
          <t>submitted docs + open questions</t>
        </is>
      </c>
      <c r="I10" s="27" t="inlineStr">
        <is>
          <t>family/skin + missing facts</t>
        </is>
      </c>
      <c r="J10" s="27" t="inlineStr">
        <is>
          <t>review call + scope boundary</t>
        </is>
      </c>
      <c r="K10" s="27" t="inlineStr">
        <is>
          <t>sharper Path Sheet; call summary</t>
        </is>
      </c>
      <c r="L10" s="27" t="inlineStr">
        <is>
          <t>Client: Next Steps</t>
        </is>
      </c>
      <c r="M10" s="27" t="inlineStr">
        <is>
          <t>Ratified</t>
        </is>
      </c>
      <c r="N10" s="27" t="inlineStr">
        <is>
          <t>P0</t>
        </is>
      </c>
      <c r="O10" s="27" t="inlineStr">
        <is>
          <t>Service-led</t>
        </is>
      </c>
      <c r="P10" s="27" t="inlineStr">
        <is>
          <t>Service Lane</t>
        </is>
      </c>
    </row>
    <row r="11" ht="26.39999961853027" customHeight="1" s="30">
      <c r="A11" s="27" t="inlineStr">
        <is>
          <t>S1-007</t>
        </is>
      </c>
      <c r="B11" s="27" t="inlineStr">
        <is>
          <t>ALL</t>
        </is>
      </c>
      <c r="C11" s="27" t="inlineStr">
        <is>
          <t>Bridge Package</t>
        </is>
      </c>
      <c r="D11" s="27" t="inlineStr">
        <is>
          <t>PJ Lite Service</t>
        </is>
      </c>
      <c r="E11" s="27" t="inlineStr">
        <is>
          <t>Matter / Opportunity</t>
        </is>
      </c>
      <c r="F11" s="27" t="inlineStr">
        <is>
          <t>Docs; Draft Correspondence; Timeline; Parties</t>
        </is>
      </c>
      <c r="G11" s="27" t="inlineStr">
        <is>
          <t>Readiness package</t>
        </is>
      </c>
      <c r="H11" s="27" t="inlineStr">
        <is>
          <t>client docs, agency/vendor inputs</t>
        </is>
      </c>
      <c r="I11" s="27" t="inlineStr">
        <is>
          <t>lanes + responsible parties</t>
        </is>
      </c>
      <c r="J11" s="27" t="inlineStr">
        <is>
          <t>proof checklist + send gate</t>
        </is>
      </c>
      <c r="K11" s="27" t="inlineStr">
        <is>
          <t>organized readiness packet</t>
        </is>
      </c>
      <c r="L11" s="27" t="inlineStr">
        <is>
          <t>Client: Documents/Decisions</t>
        </is>
      </c>
      <c r="M11" s="27" t="inlineStr">
        <is>
          <t>Ratified</t>
        </is>
      </c>
      <c r="N11" s="27" t="inlineStr">
        <is>
          <t>P0</t>
        </is>
      </c>
      <c r="O11" s="27" t="inlineStr">
        <is>
          <t>Revenue lane</t>
        </is>
      </c>
      <c r="P11" s="27" t="inlineStr">
        <is>
          <t>Service Lane</t>
        </is>
      </c>
    </row>
    <row r="12" ht="26.39999961853027" customHeight="1" s="30">
      <c r="A12" s="27" t="inlineStr">
        <is>
          <t>S1-008</t>
        </is>
      </c>
      <c r="B12" s="27" t="inlineStr">
        <is>
          <t>ALL</t>
        </is>
      </c>
      <c r="C12" s="27" t="inlineStr">
        <is>
          <t>Live CaseSpace</t>
        </is>
      </c>
      <c r="D12" s="27" t="inlineStr">
        <is>
          <t>PJ Lite Service</t>
        </is>
      </c>
      <c r="E12" s="27" t="inlineStr">
        <is>
          <t>Standing Matter</t>
        </is>
      </c>
      <c r="F12" s="27" t="inlineStr">
        <is>
          <t>Weekly Update; Child Cases; Decisions</t>
        </is>
      </c>
      <c r="G12" s="27" t="inlineStr">
        <is>
          <t>Ongoing managed work</t>
        </is>
      </c>
      <c r="H12" s="27" t="inlineStr">
        <is>
          <t>ongoing signals, decisions, docs</t>
        </is>
      </c>
      <c r="I12" s="27" t="inlineStr">
        <is>
          <t>standing + child CaseSpaces</t>
        </is>
      </c>
      <c r="J12" s="27" t="inlineStr">
        <is>
          <t>CAL/PRM-gated next move</t>
        </is>
      </c>
      <c r="K12" s="27" t="inlineStr">
        <is>
          <t>sealed child records + rollup</t>
        </is>
      </c>
      <c r="L12" s="27" t="inlineStr">
        <is>
          <t>Client: five tabs; Operator: movement board</t>
        </is>
      </c>
      <c r="M12" s="27" t="inlineStr">
        <is>
          <t>Ratified</t>
        </is>
      </c>
      <c r="N12" s="27" t="inlineStr">
        <is>
          <t>P0</t>
        </is>
      </c>
      <c r="O12" s="27" t="inlineStr">
        <is>
          <t>Core paid experience</t>
        </is>
      </c>
      <c r="P12" s="27" t="inlineStr">
        <is>
          <t>Service Lane</t>
        </is>
      </c>
    </row>
    <row r="13" ht="26.39999961853027" customHeight="1" s="30">
      <c r="A13" s="27" t="inlineStr">
        <is>
          <t>S1-009</t>
        </is>
      </c>
      <c r="B13" s="27" t="inlineStr">
        <is>
          <t>PEOPLE</t>
        </is>
      </c>
      <c r="C13" s="27" t="inlineStr">
        <is>
          <t>Time &amp; Attendance</t>
        </is>
      </c>
      <c r="D13" s="27" t="inlineStr">
        <is>
          <t>Workforce Work Pack</t>
        </is>
      </c>
      <c r="E13" s="27" t="inlineStr">
        <is>
          <t>Department / Crew / Project</t>
        </is>
      </c>
      <c r="F13" s="27" t="inlineStr">
        <is>
          <t>Shift; Timesheet; Leave; Overtime; Training; Incident</t>
        </is>
      </c>
      <c r="G13" s="27" t="inlineStr">
        <is>
          <t>Small team / municipal / property crew</t>
        </is>
      </c>
      <c r="H13" s="27" t="inlineStr">
        <is>
          <t>clock, schedule, leave, supervisor notes</t>
        </is>
      </c>
      <c r="I13" s="27" t="inlineStr">
        <is>
          <t>person + role + time window</t>
        </is>
      </c>
      <c r="J13" s="27" t="inlineStr">
        <is>
          <t>supervisor approval + payroll export gate</t>
        </is>
      </c>
      <c r="K13" s="27" t="inlineStr">
        <is>
          <t>approved timesheet + audit record</t>
        </is>
      </c>
      <c r="L13" s="27" t="inlineStr">
        <is>
          <t>People dashboard</t>
        </is>
      </c>
      <c r="M13" s="27" t="inlineStr">
        <is>
          <t>Ratified</t>
        </is>
      </c>
      <c r="N13" s="27" t="inlineStr">
        <is>
          <t>P1</t>
        </is>
      </c>
      <c r="O13" s="27" t="inlineStr">
        <is>
          <t>Template, not HRIS product</t>
        </is>
      </c>
      <c r="P13" s="27" t="inlineStr">
        <is>
          <t>Extended</t>
        </is>
      </c>
    </row>
    <row r="14" ht="26.39999961853027" customHeight="1" s="30">
      <c r="A14" s="27" t="inlineStr">
        <is>
          <t>S1-010</t>
        </is>
      </c>
      <c r="B14" s="27" t="inlineStr">
        <is>
          <t>MUNI</t>
        </is>
      </c>
      <c r="C14" s="27" t="inlineStr">
        <is>
          <t>Public Records / Board Packet</t>
        </is>
      </c>
      <c r="D14" s="27" t="inlineStr">
        <is>
          <t>MUNI Work Pack</t>
        </is>
      </c>
      <c r="E14" s="27" t="inlineStr">
        <is>
          <t>Department / Board</t>
        </is>
      </c>
      <c r="F14" s="27" t="inlineStr">
        <is>
          <t>Request; Document; Review; Redaction; Packet Item</t>
        </is>
      </c>
      <c r="G14" s="27" t="inlineStr">
        <is>
          <t>Municipal record discipline</t>
        </is>
      </c>
      <c r="H14" s="27" t="inlineStr">
        <is>
          <t>email, forms, agendas, attachments</t>
        </is>
      </c>
      <c r="I14" s="27" t="inlineStr">
        <is>
          <t>record type + deadline</t>
        </is>
      </c>
      <c r="J14" s="27" t="inlineStr">
        <is>
          <t>authority/deadline check</t>
        </is>
      </c>
      <c r="K14" s="27" t="inlineStr">
        <is>
          <t>response proof; packet proof</t>
        </is>
      </c>
      <c r="L14" s="27" t="inlineStr">
        <is>
          <t>MUNI dashboard</t>
        </is>
      </c>
      <c r="M14" s="27" t="inlineStr">
        <is>
          <t>Ratified</t>
        </is>
      </c>
      <c r="N14" s="27" t="inlineStr">
        <is>
          <t>P1</t>
        </is>
      </c>
      <c r="O14" s="27" t="inlineStr">
        <is>
          <t>Avoid public records system replacement</t>
        </is>
      </c>
      <c r="P14" s="27" t="inlineStr">
        <is>
          <t>Extended</t>
        </is>
      </c>
    </row>
    <row r="15" ht="15" customHeight="1" s="30">
      <c r="A15" s="27" t="inlineStr">
        <is>
          <t>S1-011</t>
        </is>
      </c>
      <c r="B15" s="27" t="inlineStr">
        <is>
          <t>BIZ</t>
        </is>
      </c>
      <c r="C15" s="27" t="inlineStr">
        <is>
          <t>Client Deliverable</t>
        </is>
      </c>
      <c r="D15" s="27" t="inlineStr">
        <is>
          <t>BIZ Work Pack</t>
        </is>
      </c>
      <c r="E15" s="27" t="inlineStr">
        <is>
          <t>Client / Project</t>
        </is>
      </c>
      <c r="F15" s="27" t="inlineStr">
        <is>
          <t>Task; Draft; Decision; Invoice; Handoff</t>
        </is>
      </c>
      <c r="G15" s="27" t="inlineStr">
        <is>
          <t>Consulting ops</t>
        </is>
      </c>
      <c r="H15" s="27" t="inlineStr">
        <is>
          <t>emails, docs, meetings, drafts</t>
        </is>
      </c>
      <c r="I15" s="27" t="inlineStr">
        <is>
          <t>deliverable + deadline + owner</t>
        </is>
      </c>
      <c r="J15" s="27" t="inlineStr">
        <is>
          <t>ready-to-send gate</t>
        </is>
      </c>
      <c r="K15" s="27" t="inlineStr">
        <is>
          <t>sent deliverable + proof</t>
        </is>
      </c>
      <c r="L15" s="27" t="inlineStr">
        <is>
          <t>BIZ dashboard</t>
        </is>
      </c>
      <c r="M15" s="27" t="inlineStr">
        <is>
          <t>Ratified</t>
        </is>
      </c>
      <c r="N15" s="27" t="inlineStr">
        <is>
          <t>P1</t>
        </is>
      </c>
      <c r="O15" s="27" t="inlineStr">
        <is>
          <t>Immediate internal use</t>
        </is>
      </c>
      <c r="P15" s="27" t="inlineStr">
        <is>
          <t>Extended</t>
        </is>
      </c>
    </row>
    <row r="16" ht="15" customHeight="1" s="30">
      <c r="A16" s="27" t="inlineStr">
        <is>
          <t>S1-012</t>
        </is>
      </c>
      <c r="B16" s="27" t="inlineStr">
        <is>
          <t>LIVE</t>
        </is>
      </c>
      <c r="C16" s="27" t="inlineStr">
        <is>
          <t>Release / Deployment</t>
        </is>
      </c>
      <c r="D16" s="27" t="inlineStr">
        <is>
          <t>LIVE Work Pack</t>
        </is>
      </c>
      <c r="E16" s="27" t="inlineStr">
        <is>
          <t>App / Repo</t>
        </is>
      </c>
      <c r="F16" s="27" t="inlineStr">
        <is>
          <t>Bug; Feature; Release; Incident; Env Change</t>
        </is>
      </c>
      <c r="G16" s="27" t="inlineStr">
        <is>
          <t>Local/live dev work</t>
        </is>
      </c>
      <c r="H16" s="27" t="inlineStr">
        <is>
          <t>GitHub, local scripts, Vercel, notes</t>
        </is>
      </c>
      <c r="I16" s="27" t="inlineStr">
        <is>
          <t>repo + release type</t>
        </is>
      </c>
      <c r="J16" s="27" t="inlineStr">
        <is>
          <t>surface-not-state + deploy checklist</t>
        </is>
      </c>
      <c r="K16" s="27" t="inlineStr">
        <is>
          <t>release note + deployment proof</t>
        </is>
      </c>
      <c r="L16" s="27" t="inlineStr">
        <is>
          <t>LIVE dashboard</t>
        </is>
      </c>
      <c r="M16" s="27" t="inlineStr">
        <is>
          <t>Ratified</t>
        </is>
      </c>
      <c r="N16" s="27" t="inlineStr">
        <is>
          <t>P1</t>
        </is>
      </c>
      <c r="O16" s="27" t="inlineStr">
        <is>
          <t>No repos in iCloud</t>
        </is>
      </c>
      <c r="P16" s="27" t="inlineStr">
        <is>
          <t>Extended</t>
        </is>
      </c>
    </row>
    <row r="17" ht="26.39999961853027" customHeight="1" s="30">
      <c r="A17" s="27" t="inlineStr">
        <is>
          <t>S1-013</t>
        </is>
      </c>
      <c r="B17" s="27" t="inlineStr">
        <is>
          <t>PROPERTY</t>
        </is>
      </c>
      <c r="C17" s="27" t="inlineStr">
        <is>
          <t>Maintenance / Incident</t>
        </is>
      </c>
      <c r="D17" s="27" t="inlineStr">
        <is>
          <t>Property Work Pack</t>
        </is>
      </c>
      <c r="E17" s="27" t="inlineStr">
        <is>
          <t>Property / Asset</t>
        </is>
      </c>
      <c r="F17" s="27" t="inlineStr">
        <is>
          <t>Issue; Vendor; Inspection; Receipt; Closeout</t>
        </is>
      </c>
      <c r="G17" s="27" t="inlineStr">
        <is>
          <t>Property, STAY, HOME, municipal facilities</t>
        </is>
      </c>
      <c r="H17" s="27" t="inlineStr">
        <is>
          <t>photo, guest note, vendor quote, inspection</t>
        </is>
      </c>
      <c r="I17" s="27" t="inlineStr">
        <is>
          <t>asset + severity + party</t>
        </is>
      </c>
      <c r="J17" s="27" t="inlineStr">
        <is>
          <t>safety/risk gate</t>
        </is>
      </c>
      <c r="K17" s="27" t="inlineStr">
        <is>
          <t>closed issue + proof photos/docs</t>
        </is>
      </c>
      <c r="L17" s="27" t="inlineStr">
        <is>
          <t>Property dashboard</t>
        </is>
      </c>
      <c r="M17" s="27" t="inlineStr">
        <is>
          <t>Ratified</t>
        </is>
      </c>
      <c r="N17" s="27" t="inlineStr">
        <is>
          <t>P1</t>
        </is>
      </c>
      <c r="O17" s="27" t="inlineStr">
        <is>
          <t>Cross-domain work pack</t>
        </is>
      </c>
      <c r="P17" s="27" t="inlineStr">
        <is>
          <t>Extended</t>
        </is>
      </c>
    </row>
    <row r="18" ht="15" customHeight="1" s="30">
      <c r="A18" s="27" t="inlineStr">
        <is>
          <t>S1-014</t>
        </is>
      </c>
      <c r="B18" s="27" t="inlineStr">
        <is>
          <t>FINANCE</t>
        </is>
      </c>
      <c r="C18" s="27" t="inlineStr">
        <is>
          <t>Invoice / Receipt / Payment Proof</t>
        </is>
      </c>
      <c r="D18" s="27" t="inlineStr">
        <is>
          <t>Finance Work Pack</t>
        </is>
      </c>
      <c r="E18" s="27" t="inlineStr">
        <is>
          <t>Client / Property / Project</t>
        </is>
      </c>
      <c r="F18" s="27" t="inlineStr">
        <is>
          <t>Invoice; Receipt; Approval; Reimbursement</t>
        </is>
      </c>
      <c r="G18" s="27" t="inlineStr">
        <is>
          <t>Small business and project ops</t>
        </is>
      </c>
      <c r="H18" s="27" t="inlineStr">
        <is>
          <t>email, PDF, photo, Stripe/bank note</t>
        </is>
      </c>
      <c r="I18" s="27" t="inlineStr">
        <is>
          <t>money event + project</t>
        </is>
      </c>
      <c r="J18" s="27" t="inlineStr">
        <is>
          <t>approval gate</t>
        </is>
      </c>
      <c r="K18" s="27" t="inlineStr">
        <is>
          <t>filed receipt/invoice proof</t>
        </is>
      </c>
      <c r="L18" s="27" t="inlineStr">
        <is>
          <t>Finance dashboard</t>
        </is>
      </c>
      <c r="M18" s="27" t="inlineStr">
        <is>
          <t>Ratified</t>
        </is>
      </c>
      <c r="N18" s="27" t="inlineStr">
        <is>
          <t>P2</t>
        </is>
      </c>
      <c r="O18" s="27" t="inlineStr">
        <is>
          <t>Not accounting system</t>
        </is>
      </c>
      <c r="P18" s="27" t="inlineStr">
        <is>
          <t>Extended</t>
        </is>
      </c>
    </row>
    <row r="19" ht="15" customHeight="1" s="30">
      <c r="A19" s="27" t="inlineStr">
        <is>
          <t>S1-015</t>
        </is>
      </c>
      <c r="B19" s="27" t="inlineStr">
        <is>
          <t>OPS</t>
        </is>
      </c>
      <c r="C19" s="27" t="inlineStr">
        <is>
          <t>Procurement / Vendor Handoff</t>
        </is>
      </c>
      <c r="D19" s="27" t="inlineStr">
        <is>
          <t>Operations Work Pack</t>
        </is>
      </c>
      <c r="E19" s="27" t="inlineStr">
        <is>
          <t>Project / Department</t>
        </is>
      </c>
      <c r="F19" s="27" t="inlineStr">
        <is>
          <t>Quote; Vendor; PO; Delivery; Acceptance</t>
        </is>
      </c>
      <c r="G19" s="27" t="inlineStr">
        <is>
          <t>MUNI/BIZ/property purchasing</t>
        </is>
      </c>
      <c r="H19" s="27" t="inlineStr">
        <is>
          <t>quotes, vendor messages, scope, delivery docs</t>
        </is>
      </c>
      <c r="I19" s="27" t="inlineStr">
        <is>
          <t>purchase lane + authority</t>
        </is>
      </c>
      <c r="J19" s="27" t="inlineStr">
        <is>
          <t>procurement/approval gate</t>
        </is>
      </c>
      <c r="K19" s="27" t="inlineStr">
        <is>
          <t>accepted delivery + vendor record</t>
        </is>
      </c>
      <c r="L19" s="27" t="inlineStr">
        <is>
          <t>Ops dashboard</t>
        </is>
      </c>
      <c r="M19" s="27" t="inlineStr">
        <is>
          <t>Ratified</t>
        </is>
      </c>
      <c r="N19" s="27" t="inlineStr">
        <is>
          <t>P2</t>
        </is>
      </c>
      <c r="O19" s="27" t="inlineStr">
        <is>
          <t>Bridge package subset</t>
        </is>
      </c>
      <c r="P19" s="27" t="inlineStr">
        <is>
          <t>Extended</t>
        </is>
      </c>
    </row>
    <row r="20" ht="15" customHeight="1" s="30">
      <c r="A20" s="27" t="inlineStr">
        <is>
          <t>S1-016</t>
        </is>
      </c>
      <c r="B20" s="27" t="inlineStr">
        <is>
          <t>PEOPLE</t>
        </is>
      </c>
      <c r="C20" s="27" t="inlineStr">
        <is>
          <t>Hiring / Onboarding</t>
        </is>
      </c>
      <c r="D20" s="27" t="inlineStr">
        <is>
          <t>Workforce Work Pack</t>
        </is>
      </c>
      <c r="E20" s="27" t="inlineStr">
        <is>
          <t>Department / Role</t>
        </is>
      </c>
      <c r="F20" s="27" t="inlineStr">
        <is>
          <t>Posting; Candidate; Offer; Onboarding Task</t>
        </is>
      </c>
      <c r="G20" s="27" t="inlineStr">
        <is>
          <t>People ops with records</t>
        </is>
      </c>
      <c r="H20" s="27" t="inlineStr">
        <is>
          <t>resumes, interview notes, checks, forms</t>
        </is>
      </c>
      <c r="I20" s="27" t="inlineStr">
        <is>
          <t>role + stage + authority</t>
        </is>
      </c>
      <c r="J20" s="27" t="inlineStr">
        <is>
          <t>decision/approval gate</t>
        </is>
      </c>
      <c r="K20" s="27" t="inlineStr">
        <is>
          <t>hire/onboarding record</t>
        </is>
      </c>
      <c r="L20" s="27" t="inlineStr">
        <is>
          <t>People dashboard</t>
        </is>
      </c>
      <c r="M20" s="27" t="inlineStr">
        <is>
          <t>Ratified</t>
        </is>
      </c>
      <c r="N20" s="27" t="inlineStr">
        <is>
          <t>P2</t>
        </is>
      </c>
      <c r="O20" s="27" t="inlineStr">
        <is>
          <t>Not ATS</t>
        </is>
      </c>
      <c r="P20" s="27" t="inlineStr">
        <is>
          <t>Extended</t>
        </is>
      </c>
    </row>
  </sheetData>
  <mergeCells count="2">
    <mergeCell ref="A1:P1"/>
    <mergeCell ref="A2:P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24" customWidth="1" style="30" min="1" max="1"/>
    <col width="22" customWidth="1" style="30" min="2" max="2"/>
    <col width="24" customWidth="1" style="30" min="3" max="3"/>
    <col width="42" customWidth="1" style="30" min="4" max="4"/>
    <col width="28" customWidth="1" style="30" min="5" max="5"/>
    <col width="34" customWidth="1" style="30" min="6" max="6"/>
    <col width="32" customWidth="1" style="30" min="7" max="7"/>
    <col width="34" customWidth="1" style="30" min="8" max="8"/>
    <col width="34" customWidth="1" style="30" min="9" max="9"/>
    <col width="34" customWidth="1" style="30" min="10" max="10"/>
    <col width="12" customWidth="1" style="30" min="11" max="11"/>
  </cols>
  <sheetData>
    <row r="1" ht="30" customHeight="1" s="30">
      <c r="A1" s="4" t="inlineStr">
        <is>
          <t>Work Packs — Bundles of CaseSpace Templates</t>
        </is>
      </c>
      <c r="B1" s="4" t="n"/>
      <c r="C1" s="4" t="n"/>
      <c r="D1" s="4" t="n"/>
      <c r="E1" s="4" t="n"/>
      <c r="F1" s="4" t="n"/>
      <c r="G1" s="4" t="n"/>
      <c r="H1" s="4" t="n"/>
      <c r="I1" s="4" t="n"/>
      <c r="J1" s="4" t="n"/>
      <c r="K1" s="4" t="n"/>
    </row>
    <row r="2" ht="30" customHeight="1" s="30">
      <c r="A2" s="10" t="inlineStr">
        <is>
          <t>A work pack packages one standing CaseSpace, repeatable child CaseSpaces, default proof rules, and client-safe dashboards.</t>
        </is>
      </c>
      <c r="B2" s="10" t="n"/>
      <c r="C2" s="10" t="n"/>
      <c r="D2" s="10" t="n"/>
      <c r="E2" s="10" t="n"/>
      <c r="F2" s="10" t="n"/>
      <c r="G2" s="10" t="n"/>
      <c r="H2" s="10" t="n"/>
      <c r="I2" s="10" t="n"/>
      <c r="J2" s="10" t="n"/>
      <c r="K2" s="10" t="n"/>
    </row>
    <row r="4">
      <c r="A4" s="26" t="inlineStr">
        <is>
          <t>Work Pack</t>
        </is>
      </c>
      <c r="B4" s="26" t="inlineStr">
        <is>
          <t>Client Door</t>
        </is>
      </c>
      <c r="C4" s="26" t="inlineStr">
        <is>
          <t>Standing CaseSpace</t>
        </is>
      </c>
      <c r="D4" s="26" t="inlineStr">
        <is>
          <t>Child Templates</t>
        </is>
      </c>
      <c r="E4" s="26" t="inlineStr">
        <is>
          <t>Default Client Tabs</t>
        </is>
      </c>
      <c r="F4" s="26" t="inlineStr">
        <is>
          <t>Operator Buckets</t>
        </is>
      </c>
      <c r="G4" s="26" t="inlineStr">
        <is>
          <t>Likely Integrations</t>
        </is>
      </c>
      <c r="H4" s="26" t="inlineStr">
        <is>
          <t>Manual Bridge Removed</t>
        </is>
      </c>
      <c r="I4" s="26" t="inlineStr">
        <is>
          <t>Minimum Proof</t>
        </is>
      </c>
      <c r="J4" s="26" t="inlineStr">
        <is>
          <t>Seal Rule</t>
        </is>
      </c>
      <c r="K4" s="26" t="inlineStr">
        <is>
          <t>Series</t>
        </is>
      </c>
    </row>
    <row r="5">
      <c r="A5" s="27" t="inlineStr">
        <is>
          <t>Permit &amp; Bridge</t>
        </is>
      </c>
      <c r="B5" s="27" t="inlineStr">
        <is>
          <t>Start Permit Path</t>
        </is>
      </c>
      <c r="C5" s="27" t="inlineStr">
        <is>
          <t>Project / Applicant / Site</t>
        </is>
      </c>
      <c r="D5" s="27" t="inlineStr">
        <is>
          <t>Path Sheet; Lane Review; Missing Fact; Draft Filing; Agency Question</t>
        </is>
      </c>
      <c r="E5" s="27" t="inlineStr">
        <is>
          <t>Overview, Intake, Documents, Decisions, Next Steps</t>
        </is>
      </c>
      <c r="F5" s="27" t="inlineStr">
        <is>
          <t>Today; Waiting on Client; Waiting on Third Party; Needs Judgment</t>
        </is>
      </c>
      <c r="G5" s="27" t="inlineStr">
        <is>
          <t>Drive, Gmail, Calendar, parcel/site docs, agency forms</t>
        </is>
      </c>
      <c r="H5" s="27" t="inlineStr">
        <is>
          <t>manual permit-lane guessing, re-keying, email chasing</t>
        </is>
      </c>
      <c r="I5" s="27" t="inlineStr">
        <is>
          <t>authority, site facts, lane decision, sent packet, response</t>
        </is>
      </c>
      <c r="J5" s="27" t="inlineStr">
        <is>
          <t>all required lanes have decision or deferral + packet sealed</t>
        </is>
      </c>
      <c r="K5" s="27" t="inlineStr">
        <is>
          <t>MUNI/P0</t>
        </is>
      </c>
    </row>
    <row r="6">
      <c r="A6" s="27" t="inlineStr">
        <is>
          <t>Grant Readiness</t>
        </is>
      </c>
      <c r="B6" s="27" t="inlineStr">
        <is>
          <t>Check Grant Readiness</t>
        </is>
      </c>
      <c r="C6" s="27" t="inlineStr">
        <is>
          <t>Opportunity / Applicant</t>
        </is>
      </c>
      <c r="D6" s="27" t="inlineStr">
        <is>
          <t>Eligibility; Authority; Match; Budget; Narrative; Partner; Submission</t>
        </is>
      </c>
      <c r="E6" s="27" t="inlineStr">
        <is>
          <t>Overview, Intake, Documents, Decisions, Next Steps</t>
        </is>
      </c>
      <c r="F6" s="27" t="inlineStr">
        <is>
          <t>Deadline risk; Missing match; Waiting on partner</t>
        </is>
      </c>
      <c r="G6" s="27" t="inlineStr">
        <is>
          <t>Drive, Gmail, NOFO, budget sheets, calendar</t>
        </is>
      </c>
      <c r="H6" s="27" t="inlineStr">
        <is>
          <t>NOFO translation and document scramble</t>
        </is>
      </c>
      <c r="I6" s="27" t="inlineStr">
        <is>
          <t>eligibility memo, match proof, partner commitments, submission receipt</t>
        </is>
      </c>
      <c r="J6" s="27" t="inlineStr">
        <is>
          <t>application submitted or no-go decision sealed</t>
        </is>
      </c>
      <c r="K6" s="27" t="inlineStr">
        <is>
          <t>GRANT/P0</t>
        </is>
      </c>
    </row>
    <row r="7">
      <c r="A7" s="27" t="inlineStr">
        <is>
          <t>STAY Property Memory</t>
        </is>
      </c>
      <c r="B7" s="27" t="inlineStr">
        <is>
          <t>Run Property Record</t>
        </is>
      </c>
      <c r="C7" s="27" t="inlineStr">
        <is>
          <t>Property</t>
        </is>
      </c>
      <c r="D7" s="27" t="inlineStr">
        <is>
          <t>Guest Stay; Turnover; Maintenance; Incident; Receipt; Vendor</t>
        </is>
      </c>
      <c r="E7" s="27" t="inlineStr">
        <is>
          <t>Overview, Intake, Documents, Decisions, Next Steps</t>
        </is>
      </c>
      <c r="F7" s="27" t="inlineStr">
        <is>
          <t>Today; Waiting on cleaner; Vendor; Stuck/risk</t>
        </is>
      </c>
      <c r="G7" s="27" t="inlineStr">
        <is>
          <t>Airbnb, Gmail, Calendar, Drive, photos, receipts</t>
        </is>
      </c>
      <c r="H7" s="27" t="inlineStr">
        <is>
          <t>owner as memory and bridge between PMS/cleaner/vendors</t>
        </is>
      </c>
      <c r="I7" s="27" t="inlineStr">
        <is>
          <t>booking, cleaner assignment, turnover proof, maintenance closeout</t>
        </is>
      </c>
      <c r="J7" s="27" t="inlineStr">
        <is>
          <t>stay/turnover/issue closed with proof and rollup</t>
        </is>
      </c>
      <c r="K7" s="27" t="inlineStr">
        <is>
          <t>STAY/P0</t>
        </is>
      </c>
    </row>
    <row r="8">
      <c r="A8" s="27" t="inlineStr">
        <is>
          <t>Workforce Time &amp; Attendance</t>
        </is>
      </c>
      <c r="B8" s="27" t="inlineStr">
        <is>
          <t>Run Timesheet Record</t>
        </is>
      </c>
      <c r="C8" s="27" t="inlineStr">
        <is>
          <t>Department / Crew / Project</t>
        </is>
      </c>
      <c r="D8" s="27" t="inlineStr">
        <is>
          <t>Shift; Timesheet; Leave; Overtime; Training; Incident</t>
        </is>
      </c>
      <c r="E8" s="27" t="inlineStr">
        <is>
          <t>Overview, Intake, Documents, Decisions, Next Steps</t>
        </is>
      </c>
      <c r="F8" s="27" t="inlineStr">
        <is>
          <t>Ready for approval; Exceptions; Payroll-ready</t>
        </is>
      </c>
      <c r="G8" s="27" t="inlineStr">
        <is>
          <t>Calendar, time entry, supervisor notes, payroll export</t>
        </is>
      </c>
      <c r="H8" s="27" t="inlineStr">
        <is>
          <t>supervisor babysitting timesheets and exports</t>
        </is>
      </c>
      <c r="I8" s="27" t="inlineStr">
        <is>
          <t>clock proof, supervisor approval, exception notes, payroll export</t>
        </is>
      </c>
      <c r="J8" s="27" t="inlineStr">
        <is>
          <t>timesheet approved/exported or exception sealed</t>
        </is>
      </c>
      <c r="K8" s="27" t="inlineStr">
        <is>
          <t>PEOPLE/P1</t>
        </is>
      </c>
    </row>
    <row r="9">
      <c r="A9" s="27" t="inlineStr">
        <is>
          <t>MUNI Records &amp; Board</t>
        </is>
      </c>
      <c r="B9" s="27" t="inlineStr">
        <is>
          <t>Build Board/Record Packet</t>
        </is>
      </c>
      <c r="C9" s="27" t="inlineStr">
        <is>
          <t>Department / Board</t>
        </is>
      </c>
      <c r="D9" s="27" t="inlineStr">
        <is>
          <t>Request; Packet Item; Document; Review; Decision; Response</t>
        </is>
      </c>
      <c r="E9" s="27" t="inlineStr">
        <is>
          <t>Overview, Intake, Documents, Decisions, Next Steps</t>
        </is>
      </c>
      <c r="F9" s="27" t="inlineStr">
        <is>
          <t>Due soon; Waiting on reviewer; Ready to send</t>
        </is>
      </c>
      <c r="G9" s="27" t="inlineStr">
        <is>
          <t>Gmail, Drive, agenda system, public records inbox</t>
        </is>
      </c>
      <c r="H9" s="27" t="inlineStr">
        <is>
          <t>packet/record hunting across inboxes and drives</t>
        </is>
      </c>
      <c r="I9" s="27" t="inlineStr">
        <is>
          <t>receipt date, responsive docs, review, decision, response sent</t>
        </is>
      </c>
      <c r="J9" s="27" t="inlineStr">
        <is>
          <t>packet published or request response sealed</t>
        </is>
      </c>
      <c r="K9" s="27" t="inlineStr">
        <is>
          <t>MUNI/P1</t>
        </is>
      </c>
    </row>
    <row r="10">
      <c r="A10" s="27" t="inlineStr">
        <is>
          <t>BIZ Client Delivery</t>
        </is>
      </c>
      <c r="B10" s="27" t="inlineStr">
        <is>
          <t>Run Client Matter</t>
        </is>
      </c>
      <c r="C10" s="27" t="inlineStr">
        <is>
          <t>Client / Project</t>
        </is>
      </c>
      <c r="D10" s="27" t="inlineStr">
        <is>
          <t>Task; Draft; Decision; Invoice; Handoff</t>
        </is>
      </c>
      <c r="E10" s="27" t="inlineStr">
        <is>
          <t>Overview, Intake, Documents, Decisions, Next Steps</t>
        </is>
      </c>
      <c r="F10" s="27" t="inlineStr">
        <is>
          <t>Ready to send; Needs Nate Judgment; Waiting client</t>
        </is>
      </c>
      <c r="G10" s="27" t="inlineStr">
        <is>
          <t>Gmail, Drive, Calendar, docs, invoices</t>
        </is>
      </c>
      <c r="H10" s="27" t="inlineStr">
        <is>
          <t>operator rewriting status from memory</t>
        </is>
      </c>
      <c r="I10" s="27" t="inlineStr">
        <is>
          <t>scope, drafts, decisions, sent deliverable, invoice proof</t>
        </is>
      </c>
      <c r="J10" s="27" t="inlineStr">
        <is>
          <t>deliverable sent and handoff/next step sealed</t>
        </is>
      </c>
      <c r="K10" s="27" t="inlineStr">
        <is>
          <t>BIZ/P1</t>
        </is>
      </c>
    </row>
    <row r="11">
      <c r="A11" s="27" t="inlineStr">
        <is>
          <t>LIVE Release Control</t>
        </is>
      </c>
      <c r="B11" s="27" t="inlineStr">
        <is>
          <t>Run Release Record</t>
        </is>
      </c>
      <c r="C11" s="27" t="inlineStr">
        <is>
          <t>App / Repo</t>
        </is>
      </c>
      <c r="D11" s="27" t="inlineStr">
        <is>
          <t>Bug; Feature; Release; Incident; Env Change</t>
        </is>
      </c>
      <c r="E11" s="27" t="inlineStr">
        <is>
          <t>Overview, Intake, Documents, Decisions, Next Steps</t>
        </is>
      </c>
      <c r="F11" s="27" t="inlineStr">
        <is>
          <t>Ready to deploy; Stuck; Recently sealed</t>
        </is>
      </c>
      <c r="G11" s="27" t="inlineStr">
        <is>
          <t>GitHub, Vercel, local scripts, logs, screenshots</t>
        </is>
      </c>
      <c r="H11" s="27" t="inlineStr">
        <is>
          <t>manual local/live bridge and lost release notes</t>
        </is>
      </c>
      <c r="I11" s="27" t="inlineStr">
        <is>
          <t>status check, deploy checklist, release note, screenshot</t>
        </is>
      </c>
      <c r="J11" s="27" t="inlineStr">
        <is>
          <t>release/incident closed with proof</t>
        </is>
      </c>
      <c r="K11" s="27" t="inlineStr">
        <is>
          <t>LIVE/P1</t>
        </is>
      </c>
    </row>
    <row r="12">
      <c r="A12" s="27" t="inlineStr">
        <is>
          <t>Property Maintenance</t>
        </is>
      </c>
      <c r="B12" s="27" t="inlineStr">
        <is>
          <t>Close Issue</t>
        </is>
      </c>
      <c r="C12" s="27" t="inlineStr">
        <is>
          <t>Property / Asset</t>
        </is>
      </c>
      <c r="D12" s="27" t="inlineStr">
        <is>
          <t>Issue; Vendor; Inspection; Receipt; Photo; Closeout</t>
        </is>
      </c>
      <c r="E12" s="27" t="inlineStr">
        <is>
          <t>Overview, Intake, Documents, Decisions, Next Steps</t>
        </is>
      </c>
      <c r="F12" s="27" t="inlineStr">
        <is>
          <t>Safety/risk; Waiting vendor; Ready close</t>
        </is>
      </c>
      <c r="G12" s="27" t="inlineStr">
        <is>
          <t>Photos, texts, invoices, calendar, Drive</t>
        </is>
      </c>
      <c r="H12" s="27" t="inlineStr">
        <is>
          <t>owner/vendor memory bridge</t>
        </is>
      </c>
      <c r="I12" s="27" t="inlineStr">
        <is>
          <t>issue report, vendor assignment, repair proof, receipt</t>
        </is>
      </c>
      <c r="J12" s="27" t="inlineStr">
        <is>
          <t>issue closed with before/after proof</t>
        </is>
      </c>
      <c r="K12" s="27" t="inlineStr">
        <is>
          <t>PROPERTY/P1</t>
        </is>
      </c>
    </row>
    <row r="13">
      <c r="A13" s="27" t="inlineStr">
        <is>
          <t>Procurement &amp; Vendor Handoff</t>
        </is>
      </c>
      <c r="B13" s="27" t="inlineStr">
        <is>
          <t>Organize Purchase</t>
        </is>
      </c>
      <c r="C13" s="27" t="inlineStr">
        <is>
          <t>Project / Department</t>
        </is>
      </c>
      <c r="D13" s="27" t="inlineStr">
        <is>
          <t>Quote; Vendor; Approval; Delivery; Acceptance</t>
        </is>
      </c>
      <c r="E13" s="27" t="inlineStr">
        <is>
          <t>Overview, Intake, Documents, Decisions, Next Steps</t>
        </is>
      </c>
      <c r="F13" s="27" t="inlineStr">
        <is>
          <t>Needs approval; Waiting vendor; Ready accept</t>
        </is>
      </c>
      <c r="G13" s="27" t="inlineStr">
        <is>
          <t>Gmail, Drive, quotes, forms, calendar</t>
        </is>
      </c>
      <c r="H13" s="27" t="inlineStr">
        <is>
          <t>manual quote comparison and approval handoff</t>
        </is>
      </c>
      <c r="I13" s="27" t="inlineStr">
        <is>
          <t>quote record, authority approval, delivery/acceptance</t>
        </is>
      </c>
      <c r="J13" s="27" t="inlineStr">
        <is>
          <t>purchase accepted or rejected and sealed</t>
        </is>
      </c>
      <c r="K13" s="27" t="inlineStr">
        <is>
          <t>OPS/P2</t>
        </is>
      </c>
    </row>
    <row r="14">
      <c r="A14" s="27" t="inlineStr">
        <is>
          <t>Policy/SOP Stewardship</t>
        </is>
      </c>
      <c r="B14" s="27" t="inlineStr">
        <is>
          <t>Update SOP</t>
        </is>
      </c>
      <c r="C14" s="27" t="inlineStr">
        <is>
          <t>Department / Process</t>
        </is>
      </c>
      <c r="D14" s="27" t="inlineStr">
        <is>
          <t>Draft; Decision; Training; Acknowledgment; Revision</t>
        </is>
      </c>
      <c r="E14" s="27" t="inlineStr">
        <is>
          <t>Overview, Intake, Documents, Decisions, Next Steps</t>
        </is>
      </c>
      <c r="F14" s="27" t="inlineStr">
        <is>
          <t>Needs decision; Needs training; Recently ratified</t>
        </is>
      </c>
      <c r="G14" s="27" t="inlineStr">
        <is>
          <t>Drive, Gmail, meeting notes, policy docs</t>
        </is>
      </c>
      <c r="H14" s="27" t="inlineStr">
        <is>
          <t>policy in docs but not in operating memory</t>
        </is>
      </c>
      <c r="I14" s="27" t="inlineStr">
        <is>
          <t>draft, approval, adoption/ratification, training proof</t>
        </is>
      </c>
      <c r="J14" s="27" t="inlineStr">
        <is>
          <t>ratified SOP/policy with rollup history</t>
        </is>
      </c>
      <c r="K14" s="27" t="inlineStr">
        <is>
          <t>CONTINUITY/P0</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22" customWidth="1" style="30" min="1" max="1"/>
    <col width="18" customWidth="1" style="30" min="2" max="2"/>
    <col width="34" customWidth="1" style="30" min="3" max="3"/>
    <col width="8" customWidth="1" style="30" min="4" max="4"/>
    <col width="8" customWidth="1" style="30" min="5" max="5"/>
    <col width="8" customWidth="1" style="30" min="6" max="6"/>
    <col width="3" customWidth="1" style="30" min="7" max="7"/>
    <col width="16" customWidth="1" style="30" min="8" max="8"/>
    <col width="16" customWidth="1" style="30" min="9" max="9"/>
    <col width="10" customWidth="1" style="30" min="10" max="10"/>
    <col width="10" customWidth="1" style="30" min="11" max="11"/>
    <col width="10" customWidth="1" style="30" min="12" max="12"/>
  </cols>
  <sheetData>
    <row r="1" ht="30" customHeight="1" s="30">
      <c r="A1" s="4" t="inlineStr">
        <is>
          <t>Dashboards — Same Record, Different Surfaces</t>
        </is>
      </c>
      <c r="B1" s="4" t="n"/>
      <c r="C1" s="4" t="n"/>
      <c r="D1" s="4" t="n"/>
      <c r="E1" s="4" t="n"/>
      <c r="F1" s="4" t="n"/>
      <c r="G1" s="4" t="n"/>
      <c r="H1" s="4" t="n"/>
      <c r="I1" s="4" t="n"/>
      <c r="J1" s="4" t="n"/>
    </row>
    <row r="2" ht="30" customHeight="1" s="30">
      <c r="A2" s="10" t="inlineStr">
        <is>
          <t>Dashboards are views over the same CaseSpace state. Client sees calm; operator sees movement; system keeps proof.</t>
        </is>
      </c>
      <c r="B2" s="10" t="n"/>
      <c r="C2" s="10" t="n"/>
      <c r="D2" s="10" t="n"/>
      <c r="E2" s="10" t="n"/>
      <c r="F2" s="10" t="n"/>
      <c r="G2" s="10" t="n"/>
      <c r="H2" s="10" t="n"/>
      <c r="I2" s="10" t="n"/>
      <c r="J2" s="10" t="n"/>
    </row>
    <row r="4">
      <c r="A4" s="18" t="inlineStr">
        <is>
          <t>KPI</t>
        </is>
      </c>
      <c r="B4" s="18" t="inlineStr">
        <is>
          <t>Formula / Value</t>
        </is>
      </c>
      <c r="C4" s="18" t="inlineStr">
        <is>
          <t>Meaning</t>
        </is>
      </c>
      <c r="H4" s="18" t="inlineStr">
        <is>
          <t>Family</t>
        </is>
      </c>
      <c r="I4" s="18" t="inlineStr">
        <is>
          <t>Template Count</t>
        </is>
      </c>
      <c r="J4" s="18" t="inlineStr">
        <is>
          <t>P0</t>
        </is>
      </c>
      <c r="K4" s="18" t="inlineStr">
        <is>
          <t>P1</t>
        </is>
      </c>
      <c r="L4" s="18" t="inlineStr">
        <is>
          <t>P2</t>
        </is>
      </c>
    </row>
    <row r="5">
      <c r="A5" s="24" t="inlineStr">
        <is>
          <t>Series 1 Templates</t>
        </is>
      </c>
      <c r="B5" s="24">
        <f>COUNTA('05_Series1_Templates'!C5:C20)</f>
        <v/>
      </c>
      <c r="C5" s="24" t="inlineStr">
        <is>
          <t>Number of Series 1 doors/templates</t>
        </is>
      </c>
      <c r="H5" t="inlineStr">
        <is>
          <t>ALL</t>
        </is>
      </c>
      <c r="I5">
        <f>COUNTIF('05_Series1_Templates'!$B$5:$B$20,"ALL")</f>
        <v/>
      </c>
      <c r="J5">
        <f>COUNTIFS('05_Series1_Templates'!$B$5:$B$20,"ALL",'05_Series1_Templates'!$N$5:$N$20,"P0")</f>
        <v/>
      </c>
      <c r="K5">
        <f>COUNTIFS('05_Series1_Templates'!$B$5:$B$20,"ALL",'05_Series1_Templates'!$N$5:$N$20,"P1")</f>
        <v/>
      </c>
      <c r="L5">
        <f>COUNTIFS('05_Series1_Templates'!$B$5:$B$20,"ALL",'05_Series1_Templates'!$N$5:$N$20,"P2")</f>
        <v/>
      </c>
    </row>
    <row r="6">
      <c r="A6" s="24" t="inlineStr">
        <is>
          <t>P0 Templates</t>
        </is>
      </c>
      <c r="B6" s="24">
        <f>COUNTIF('05_Series1_Templates'!N5:N20,"P0")</f>
        <v/>
      </c>
      <c r="C6" s="24" t="inlineStr">
        <is>
          <t>Immediate build/sales focus</t>
        </is>
      </c>
      <c r="H6" t="inlineStr">
        <is>
          <t>MUNI</t>
        </is>
      </c>
      <c r="I6">
        <f>COUNTIF('05_Series1_Templates'!$B$5:$B$20,"MUNI")+COUNTIF('05_Series1_Templates'!$B$5:$B$20,"MUNI/BIZ")</f>
        <v/>
      </c>
      <c r="J6">
        <f>COUNTIFS('05_Series1_Templates'!$B$5:$B$20,"MUNI",'05_Series1_Templates'!$N$5:$N$20,"P0")+COUNTIFS('05_Series1_Templates'!$B$5:$B$20,"MUNI/BIZ",'05_Series1_Templates'!$N$5:$N$20,"P0")</f>
        <v/>
      </c>
      <c r="K6">
        <f>COUNTIFS('05_Series1_Templates'!$B$5:$B$20,"MUNI",'05_Series1_Templates'!$N$5:$N$20,"P1")+COUNTIFS('05_Series1_Templates'!$B$5:$B$20,"MUNI/BIZ",'05_Series1_Templates'!$N$5:$N$20,"P1")</f>
        <v/>
      </c>
      <c r="L6">
        <f>COUNTIFS('05_Series1_Templates'!$B$5:$B$20,"MUNI",'05_Series1_Templates'!$N$5:$N$20,"P2")+COUNTIFS('05_Series1_Templates'!$B$5:$B$20,"MUNI/BIZ",'05_Series1_Templates'!$N$5:$N$20,"P2")</f>
        <v/>
      </c>
    </row>
    <row r="7">
      <c r="A7" s="24" t="inlineStr">
        <is>
          <t>P1 Templates</t>
        </is>
      </c>
      <c r="B7" s="24">
        <f>COUNTIF('05_Series1_Templates'!N5:N20,"P1")</f>
        <v/>
      </c>
      <c r="C7" s="24" t="inlineStr">
        <is>
          <t>Near-term build/sales focus</t>
        </is>
      </c>
      <c r="H7" t="inlineStr">
        <is>
          <t>GRANT</t>
        </is>
      </c>
      <c r="I7">
        <f>COUNTIF('05_Series1_Templates'!$B$5:$B$20,"GRANT")</f>
        <v/>
      </c>
      <c r="J7">
        <f>COUNTIFS('05_Series1_Templates'!$B$5:$B$20,"GRANT",'05_Series1_Templates'!$N$5:$N$20,"P0")</f>
        <v/>
      </c>
      <c r="K7">
        <f>COUNTIFS('05_Series1_Templates'!$B$5:$B$20,"GRANT",'05_Series1_Templates'!$N$5:$N$20,"P1")</f>
        <v/>
      </c>
      <c r="L7">
        <f>COUNTIFS('05_Series1_Templates'!$B$5:$B$20,"GRANT",'05_Series1_Templates'!$N$5:$N$20,"P2")</f>
        <v/>
      </c>
    </row>
    <row r="8">
      <c r="A8" s="24" t="inlineStr">
        <is>
          <t>Ratified Templates</t>
        </is>
      </c>
      <c r="B8" s="24">
        <f>COUNTIF('05_Series1_Templates'!M5:M20,"Ratified")</f>
        <v/>
      </c>
      <c r="C8" s="24" t="inlineStr">
        <is>
          <t>Templates cleared by doctrine</t>
        </is>
      </c>
      <c r="H8" t="inlineStr">
        <is>
          <t>STAY</t>
        </is>
      </c>
      <c r="I8">
        <f>COUNTIF('05_Series1_Templates'!$B$5:$B$20,"STAY")</f>
        <v/>
      </c>
      <c r="J8">
        <f>COUNTIFS('05_Series1_Templates'!$B$5:$B$20,"STAY",'05_Series1_Templates'!$N$5:$N$20,"P0")</f>
        <v/>
      </c>
      <c r="K8">
        <f>COUNTIFS('05_Series1_Templates'!$B$5:$B$20,"STAY",'05_Series1_Templates'!$N$5:$N$20,"P1")</f>
        <v/>
      </c>
      <c r="L8">
        <f>COUNTIFS('05_Series1_Templates'!$B$5:$B$20,"STAY",'05_Series1_Templates'!$N$5:$N$20,"P2")</f>
        <v/>
      </c>
    </row>
    <row r="9">
      <c r="A9" s="24" t="inlineStr">
        <is>
          <t>Work Packs</t>
        </is>
      </c>
      <c r="B9" s="24">
        <f>COUNTA('06_Work_Packs'!A5:A14)</f>
        <v/>
      </c>
      <c r="C9" s="24" t="inlineStr">
        <is>
          <t>Bundled CaseSpace packages</t>
        </is>
      </c>
      <c r="H9" t="inlineStr">
        <is>
          <t>PEOPLE</t>
        </is>
      </c>
      <c r="I9">
        <f>COUNTIF('05_Series1_Templates'!$B$5:$B$20,"PEOPLE")</f>
        <v/>
      </c>
      <c r="J9">
        <f>COUNTIFS('05_Series1_Templates'!$B$5:$B$20,"PEOPLE",'05_Series1_Templates'!$N$5:$N$20,"P0")</f>
        <v/>
      </c>
      <c r="K9">
        <f>COUNTIFS('05_Series1_Templates'!$B$5:$B$20,"PEOPLE",'05_Series1_Templates'!$N$5:$N$20,"P1")</f>
        <v/>
      </c>
      <c r="L9">
        <f>COUNTIFS('05_Series1_Templates'!$B$5:$B$20,"PEOPLE",'05_Series1_Templates'!$N$5:$N$20,"P2")</f>
        <v/>
      </c>
    </row>
    <row r="10">
      <c r="A10" s="24" t="inlineStr">
        <is>
          <t>Permit Lanes</t>
        </is>
      </c>
      <c r="B10" s="24">
        <f>COUNTA('08_Permit_Bridge_Lanes'!B5:B17)</f>
        <v/>
      </c>
      <c r="C10" s="24" t="inlineStr">
        <is>
          <t>Permit &amp; Bridge review lanes</t>
        </is>
      </c>
      <c r="H10" t="inlineStr">
        <is>
          <t>BIZ</t>
        </is>
      </c>
      <c r="I10">
        <f>COUNTIF('05_Series1_Templates'!$B$5:$B$20,"BIZ")+COUNTIF('05_Series1_Templates'!$B$5:$B$20,"MUNI/BIZ")</f>
        <v/>
      </c>
      <c r="J10">
        <f>COUNTIFS('05_Series1_Templates'!$B$5:$B$20,"BIZ",'05_Series1_Templates'!$N$5:$N$20,"P0")+COUNTIFS('05_Series1_Templates'!$B$5:$B$20,"MUNI/BIZ",'05_Series1_Templates'!$N$5:$N$20,"P0")</f>
        <v/>
      </c>
      <c r="K10">
        <f>COUNTIFS('05_Series1_Templates'!$B$5:$B$20,"BIZ",'05_Series1_Templates'!$N$5:$N$20,"P1")+COUNTIFS('05_Series1_Templates'!$B$5:$B$20,"MUNI/BIZ",'05_Series1_Templates'!$N$5:$N$20,"P1")</f>
        <v/>
      </c>
      <c r="L10">
        <f>COUNTIFS('05_Series1_Templates'!$B$5:$B$20,"BIZ",'05_Series1_Templates'!$N$5:$N$20,"P2")+COUNTIFS('05_Series1_Templates'!$B$5:$B$20,"MUNI/BIZ",'05_Series1_Templates'!$N$5:$N$20,"P2")</f>
        <v/>
      </c>
    </row>
    <row r="11">
      <c r="H11" t="inlineStr">
        <is>
          <t>LIVE</t>
        </is>
      </c>
      <c r="I11">
        <f>COUNTIF('05_Series1_Templates'!$B$5:$B$20,"LIVE")</f>
        <v/>
      </c>
      <c r="J11">
        <f>COUNTIFS('05_Series1_Templates'!$B$5:$B$20,"LIVE",'05_Series1_Templates'!$N$5:$N$20,"P0")</f>
        <v/>
      </c>
      <c r="K11">
        <f>COUNTIFS('05_Series1_Templates'!$B$5:$B$20,"LIVE",'05_Series1_Templates'!$N$5:$N$20,"P1")</f>
        <v/>
      </c>
      <c r="L11">
        <f>COUNTIFS('05_Series1_Templates'!$B$5:$B$20,"LIVE",'05_Series1_Templates'!$N$5:$N$20,"P2")</f>
        <v/>
      </c>
    </row>
    <row r="12">
      <c r="H12" t="inlineStr">
        <is>
          <t>PROPERTY</t>
        </is>
      </c>
      <c r="I12">
        <f>COUNTIF('05_Series1_Templates'!$B$5:$B$20,"PROPERTY")</f>
        <v/>
      </c>
      <c r="J12">
        <f>COUNTIFS('05_Series1_Templates'!$B$5:$B$20,"PROPERTY",'05_Series1_Templates'!$N$5:$N$20,"P0")</f>
        <v/>
      </c>
      <c r="K12">
        <f>COUNTIFS('05_Series1_Templates'!$B$5:$B$20,"PROPERTY",'05_Series1_Templates'!$N$5:$N$20,"P1")</f>
        <v/>
      </c>
      <c r="L12">
        <f>COUNTIFS('05_Series1_Templates'!$B$5:$B$20,"PROPERTY",'05_Series1_Templates'!$N$5:$N$20,"P2")</f>
        <v/>
      </c>
    </row>
    <row r="13">
      <c r="A13" s="26" t="inlineStr">
        <is>
          <t>Dashboard Layer</t>
        </is>
      </c>
      <c r="B13" s="26" t="inlineStr">
        <is>
          <t>Audience</t>
        </is>
      </c>
      <c r="C13" s="26" t="inlineStr">
        <is>
          <t>Question Answered</t>
        </is>
      </c>
      <c r="D13" s="26" t="inlineStr">
        <is>
          <t>Source Fields</t>
        </is>
      </c>
      <c r="E13" s="26" t="inlineStr">
        <is>
          <t>Primary Widgets</t>
        </is>
      </c>
      <c r="F13" s="26" t="inlineStr">
        <is>
          <t>Do Not Show</t>
        </is>
      </c>
      <c r="H13" t="inlineStr">
        <is>
          <t>FINANCE</t>
        </is>
      </c>
      <c r="I13">
        <f>COUNTIF('05_Series1_Templates'!$B$5:$B$20,"FINANCE")</f>
        <v/>
      </c>
      <c r="J13">
        <f>COUNTIFS('05_Series1_Templates'!$B$5:$B$20,"FINANCE",'05_Series1_Templates'!$N$5:$N$20,"P0")</f>
        <v/>
      </c>
      <c r="K13">
        <f>COUNTIFS('05_Series1_Templates'!$B$5:$B$20,"FINANCE",'05_Series1_Templates'!$N$5:$N$20,"P1")</f>
        <v/>
      </c>
      <c r="L13">
        <f>COUNTIFS('05_Series1_Templates'!$B$5:$B$20,"FINANCE",'05_Series1_Templates'!$N$5:$N$20,"P2")</f>
        <v/>
      </c>
    </row>
    <row r="14">
      <c r="A14" s="27" t="inlineStr">
        <is>
          <t>Client CaseSpace</t>
        </is>
      </c>
      <c r="B14" s="27" t="inlineStr">
        <is>
          <t>Client</t>
        </is>
      </c>
      <c r="C14" s="27" t="inlineStr">
        <is>
          <t>What are we doing, what do we know, what is missing, what happens next?</t>
        </is>
      </c>
      <c r="D14" s="27" t="inlineStr">
        <is>
          <t>Overview, Intake, Documents, Decisions, Next Steps</t>
        </is>
      </c>
      <c r="E14" s="27" t="inlineStr">
        <is>
          <t>five tabs; Path Sheet; Next Steps; Record</t>
        </is>
      </c>
      <c r="F14" s="27" t="inlineStr">
        <is>
          <t>runtime names, CAL/PRM, internal audit mechanics</t>
        </is>
      </c>
      <c r="H14" t="inlineStr">
        <is>
          <t>OPS</t>
        </is>
      </c>
      <c r="I14">
        <f>COUNTIF('05_Series1_Templates'!$B$5:$B$20,"OPS")</f>
        <v/>
      </c>
      <c r="J14">
        <f>COUNTIFS('05_Series1_Templates'!$B$5:$B$20,"OPS",'05_Series1_Templates'!$N$5:$N$20,"P0")</f>
        <v/>
      </c>
      <c r="K14">
        <f>COUNTIFS('05_Series1_Templates'!$B$5:$B$20,"OPS",'05_Series1_Templates'!$N$5:$N$20,"P1")</f>
        <v/>
      </c>
      <c r="L14">
        <f>COUNTIFS('05_Series1_Templates'!$B$5:$B$20,"OPS",'05_Series1_Templates'!$N$5:$N$20,"P2")</f>
        <v/>
      </c>
    </row>
    <row r="15">
      <c r="A15" s="27" t="inlineStr">
        <is>
          <t>Operator Movement Board</t>
        </is>
      </c>
      <c r="B15" s="27" t="inlineStr">
        <is>
          <t>Nate/PublicLogic</t>
        </is>
      </c>
      <c r="C15" s="27" t="inlineStr">
        <is>
          <t>What needs movement today?</t>
        </is>
      </c>
      <c r="D15" s="27" t="inlineStr">
        <is>
          <t>status, owner, waiting_on, next_action, risk</t>
        </is>
      </c>
      <c r="E15" s="27" t="inlineStr">
        <is>
          <t>Today; Waiting Client; Waiting Third Party; Needs Judgment; Ready to Send; Stuck/Risk; Recently Sealed</t>
        </is>
      </c>
      <c r="F15" s="27" t="inlineStr">
        <is>
          <t>full architecture or backend logs</t>
        </is>
      </c>
    </row>
    <row r="16">
      <c r="A16" s="27" t="inlineStr">
        <is>
          <t>Stewardship Dashboard</t>
        </is>
      </c>
      <c r="B16" s="27" t="inlineStr">
        <is>
          <t>PublicLogic admin</t>
        </is>
      </c>
      <c r="C16" s="27" t="inlineStr">
        <is>
          <t>Which work packs/templates are active, repeated, and worth productizing?</t>
        </is>
      </c>
      <c r="D16" s="27" t="inlineStr">
        <is>
          <t>family, template, occurrences, status, priority</t>
        </is>
      </c>
      <c r="E16" s="27" t="inlineStr">
        <is>
          <t>work pack counts; 1x/2x/3x pattern tracker; backlog</t>
        </is>
      </c>
      <c r="F16" s="27" t="inlineStr">
        <is>
          <t>client private details</t>
        </is>
      </c>
    </row>
    <row r="17">
      <c r="A17" s="27" t="inlineStr">
        <is>
          <t>Proof Dashboard</t>
        </is>
      </c>
      <c r="B17" s="27" t="inlineStr">
        <is>
          <t>System/Internal</t>
        </is>
      </c>
      <c r="C17" s="27" t="inlineStr">
        <is>
          <t>What was captured, advanced, decided, and sealed?</t>
        </is>
      </c>
      <c r="D17" s="27" t="inlineStr">
        <is>
          <t>recordstream, proof events, seal records, rollups</t>
        </is>
      </c>
      <c r="E17" s="27" t="inlineStr">
        <is>
          <t>open proof gaps; sealed records; missing proof</t>
        </is>
      </c>
      <c r="F17" s="27" t="inlineStr">
        <is>
          <t>subjective status without evidence</t>
        </is>
      </c>
    </row>
    <row r="18">
      <c r="A18" s="27" t="inlineStr">
        <is>
          <t>Bridge Dashboard</t>
        </is>
      </c>
      <c r="B18" s="27" t="inlineStr">
        <is>
          <t>Sales/Product</t>
        </is>
      </c>
      <c r="C18" s="27" t="inlineStr">
        <is>
          <t>Where are humans still bridging systems?</t>
        </is>
      </c>
      <c r="D18" s="27" t="inlineStr">
        <is>
          <t>systems count, manual re-entry, people count, risk, missing docs</t>
        </is>
      </c>
      <c r="E18" s="27" t="inlineStr">
        <is>
          <t>bridge score; bridge removed; integration map</t>
        </is>
      </c>
      <c r="F18" s="27" t="inlineStr">
        <is>
          <t>claims that the system automated what is still manual</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9" customWidth="1" style="30" min="1" max="1"/>
    <col width="24" customWidth="1" style="30" min="2" max="2"/>
    <col width="40" customWidth="1" style="30" min="3" max="3"/>
    <col width="28" customWidth="1" style="30" min="4" max="4"/>
    <col width="30" customWidth="1" style="30" min="5" max="5"/>
    <col width="30" customWidth="1" style="30" min="6" max="6"/>
    <col width="28" customWidth="1" style="30" min="7" max="7"/>
    <col width="34" customWidth="1" style="30" min="8" max="8"/>
    <col width="28" customWidth="1" style="30" min="9" max="9"/>
    <col width="26" customWidth="1" style="30" min="10" max="10"/>
    <col width="32" customWidth="1" style="30" min="11" max="11"/>
    <col width="16" customWidth="1" style="30" min="12" max="12"/>
  </cols>
  <sheetData>
    <row r="1" ht="30" customHeight="1" s="30">
      <c r="A1" s="4" t="inlineStr">
        <is>
          <t>Permit &amp; Bridge Lanes — Readiness Before Software</t>
        </is>
      </c>
      <c r="B1" s="4" t="n"/>
      <c r="C1" s="4" t="n"/>
      <c r="D1" s="4" t="n"/>
      <c r="E1" s="4" t="n"/>
      <c r="F1" s="4" t="n"/>
      <c r="G1" s="4" t="n"/>
      <c r="H1" s="4" t="n"/>
      <c r="I1" s="4" t="n"/>
      <c r="J1" s="4" t="n"/>
      <c r="K1" s="4" t="n"/>
      <c r="L1" s="4" t="n"/>
    </row>
    <row r="2" ht="30" customHeight="1" s="30">
      <c r="A2" s="10" t="inlineStr">
        <is>
          <t>Permit &amp; Bridge is a readiness lane system: it asks what probably has to be true before a matter can move.</t>
        </is>
      </c>
      <c r="B2" s="10" t="n"/>
      <c r="C2" s="10" t="n"/>
      <c r="D2" s="10" t="n"/>
      <c r="E2" s="10" t="n"/>
      <c r="F2" s="10" t="n"/>
      <c r="G2" s="10" t="n"/>
      <c r="H2" s="10" t="n"/>
      <c r="I2" s="10" t="n"/>
      <c r="J2" s="10" t="n"/>
      <c r="K2" s="10" t="n"/>
      <c r="L2" s="10" t="n"/>
    </row>
    <row r="4">
      <c r="A4" s="26" t="inlineStr">
        <is>
          <t>Lane ID</t>
        </is>
      </c>
      <c r="B4" s="26" t="inlineStr">
        <is>
          <t>Lane</t>
        </is>
      </c>
      <c r="C4" s="26" t="inlineStr">
        <is>
          <t>Plain-English Question</t>
        </is>
      </c>
      <c r="D4" s="26" t="inlineStr">
        <is>
          <t>Sources</t>
        </is>
      </c>
      <c r="E4" s="26" t="inlineStr">
        <is>
          <t>Required Facts</t>
        </is>
      </c>
      <c r="F4" s="26" t="inlineStr">
        <is>
          <t>Common Docs</t>
        </is>
      </c>
      <c r="G4" s="26" t="inlineStr">
        <is>
          <t>Gate / Decision</t>
        </is>
      </c>
      <c r="H4" s="26" t="inlineStr">
        <is>
          <t>Bridge Removed</t>
        </is>
      </c>
      <c r="I4" s="26" t="inlineStr">
        <is>
          <t>Output</t>
        </is>
      </c>
      <c r="J4" s="26" t="inlineStr">
        <is>
          <t>Proof Event</t>
        </is>
      </c>
      <c r="K4" s="26" t="inlineStr">
        <is>
          <t>Seal Condition</t>
        </is>
      </c>
      <c r="L4" s="26" t="inlineStr">
        <is>
          <t>Client Tab</t>
        </is>
      </c>
    </row>
    <row r="5">
      <c r="A5" s="27" t="inlineStr">
        <is>
          <t>PB-01</t>
        </is>
      </c>
      <c r="B5" s="27" t="inlineStr">
        <is>
          <t>Front Door / Path Sheet</t>
        </is>
      </c>
      <c r="C5" s="27" t="inlineStr">
        <is>
          <t>What are they trying to do?</t>
        </is>
      </c>
      <c r="D5" s="27" t="inlineStr">
        <is>
          <t>client intake, email, call notes</t>
        </is>
      </c>
      <c r="E5" s="27" t="inlineStr">
        <is>
          <t>desired outcome, property/project, deadline</t>
        </is>
      </c>
      <c r="F5" s="27" t="inlineStr">
        <is>
          <t>photos, sketches, existing permits, narrative</t>
        </is>
      </c>
      <c r="G5" s="27" t="inlineStr">
        <is>
          <t>scope boundary + no legal/agency decision</t>
        </is>
      </c>
      <c r="H5" s="27" t="inlineStr">
        <is>
          <t>freeform emails and ad hoc advice</t>
        </is>
      </c>
      <c r="I5" s="27" t="inlineStr">
        <is>
          <t>first Path Sheet + bridge rating</t>
        </is>
      </c>
      <c r="J5" s="27" t="inlineStr">
        <is>
          <t>Path Sheet generated</t>
        </is>
      </c>
      <c r="K5" s="27" t="inlineStr">
        <is>
          <t>recommended next step visible</t>
        </is>
      </c>
      <c r="L5" s="27" t="inlineStr">
        <is>
          <t>Overview</t>
        </is>
      </c>
    </row>
    <row r="6">
      <c r="A6" s="27" t="inlineStr">
        <is>
          <t>PB-02</t>
        </is>
      </c>
      <c r="B6" s="27" t="inlineStr">
        <is>
          <t>Authority / Applicant</t>
        </is>
      </c>
      <c r="C6" s="27" t="inlineStr">
        <is>
          <t>Who can ask, sign, own, or authorize?</t>
        </is>
      </c>
      <c r="D6" s="27" t="inlineStr">
        <is>
          <t>client docs, corporate records, owner notes</t>
        </is>
      </c>
      <c r="E6" s="27" t="inlineStr">
        <is>
          <t>applicant, owner, agent, authority</t>
        </is>
      </c>
      <c r="F6" s="27" t="inlineStr">
        <is>
          <t>deed, authorization, entity docs, vote/authorization</t>
        </is>
      </c>
      <c r="G6" s="27" t="inlineStr">
        <is>
          <t>authority check before sending</t>
        </is>
      </c>
      <c r="H6" s="27" t="inlineStr">
        <is>
          <t>missing signer/authority chase</t>
        </is>
      </c>
      <c r="I6" s="27" t="inlineStr">
        <is>
          <t>authority facts in CaseSpace</t>
        </is>
      </c>
      <c r="J6" s="27" t="inlineStr">
        <is>
          <t>authority proof captured</t>
        </is>
      </c>
      <c r="K6" s="27" t="inlineStr">
        <is>
          <t>authority accepted or flagged</t>
        </is>
      </c>
      <c r="L6" s="27" t="inlineStr">
        <is>
          <t>Intake</t>
        </is>
      </c>
    </row>
    <row r="7">
      <c r="A7" s="27" t="inlineStr">
        <is>
          <t>PB-03</t>
        </is>
      </c>
      <c r="B7" s="27" t="inlineStr">
        <is>
          <t>Parcel / Site Facts</t>
        </is>
      </c>
      <c r="C7" s="27" t="inlineStr">
        <is>
          <t>Where is it and what facts define the site?</t>
        </is>
      </c>
      <c r="D7" s="27" t="inlineStr">
        <is>
          <t>maps, assessor, GIS, plans</t>
        </is>
      </c>
      <c r="E7" s="27" t="inlineStr">
        <is>
          <t>address, parcel, zoning district, constraints</t>
        </is>
      </c>
      <c r="F7" s="27" t="inlineStr">
        <is>
          <t>site plan, assessor card, locus map</t>
        </is>
      </c>
      <c r="G7" s="27" t="inlineStr">
        <is>
          <t>site fact completeness gate</t>
        </is>
      </c>
      <c r="H7" s="27" t="inlineStr">
        <is>
          <t>re-keying parcel facts into every form</t>
        </is>
      </c>
      <c r="I7" s="27" t="inlineStr">
        <is>
          <t>site facts block</t>
        </is>
      </c>
      <c r="J7" s="27" t="inlineStr">
        <is>
          <t>site facts proof captured</t>
        </is>
      </c>
      <c r="K7" s="27" t="inlineStr">
        <is>
          <t>site facts ready or flagged</t>
        </is>
      </c>
      <c r="L7" s="27" t="inlineStr">
        <is>
          <t>Documents</t>
        </is>
      </c>
    </row>
    <row r="8">
      <c r="A8" s="27" t="inlineStr">
        <is>
          <t>PB-04</t>
        </is>
      </c>
      <c r="B8" s="27" t="inlineStr">
        <is>
          <t>Use / Zoning Lane</t>
        </is>
      </c>
      <c r="C8" s="27" t="inlineStr">
        <is>
          <t>What use is proposed and what local lane likely applies?</t>
        </is>
      </c>
      <c r="D8" s="27" t="inlineStr">
        <is>
          <t>zoning bylaw, use description, planner notes</t>
        </is>
      </c>
      <c r="E8" s="27" t="inlineStr">
        <is>
          <t>existing use, proposed use, district, triggers</t>
        </is>
      </c>
      <c r="F8" s="27" t="inlineStr">
        <is>
          <t>narrative, floor/site plan, zoning excerpts</t>
        </is>
      </c>
      <c r="G8" s="27" t="inlineStr">
        <is>
          <t>zoning lane/no-go question</t>
        </is>
      </c>
      <c r="H8" s="27" t="inlineStr">
        <is>
          <t>guessing which board/process applies</t>
        </is>
      </c>
      <c r="I8" s="27" t="inlineStr">
        <is>
          <t>zoning lane note</t>
        </is>
      </c>
      <c r="J8" s="27" t="inlineStr">
        <is>
          <t>lane decision recorded</t>
        </is>
      </c>
      <c r="K8" s="27" t="inlineStr">
        <is>
          <t>lane selected/deferred</t>
        </is>
      </c>
      <c r="L8" s="27" t="inlineStr">
        <is>
          <t>Decisions</t>
        </is>
      </c>
    </row>
    <row r="9">
      <c r="A9" s="27" t="inlineStr">
        <is>
          <t>PB-05</t>
        </is>
      </c>
      <c r="B9" s="27" t="inlineStr">
        <is>
          <t>Health / Environmental</t>
        </is>
      </c>
      <c r="C9" s="27" t="inlineStr">
        <is>
          <t>Does the work touch health, waste, septic, food, air, water, or hazardous issues?</t>
        </is>
      </c>
      <c r="D9" s="27" t="inlineStr">
        <is>
          <t>BOH, DEP/EGLE, project docs</t>
        </is>
      </c>
      <c r="E9" s="27" t="inlineStr">
        <is>
          <t>health/environment triggers</t>
        </is>
      </c>
      <c r="F9" s="27" t="inlineStr">
        <is>
          <t>septic, soil, waste, environmental docs</t>
        </is>
      </c>
      <c r="G9" s="27" t="inlineStr">
        <is>
          <t>environmental trigger gate</t>
        </is>
      </c>
      <c r="H9" s="27" t="inlineStr">
        <is>
          <t>late discovery of health/environment lane</t>
        </is>
      </c>
      <c r="I9" s="27" t="inlineStr">
        <is>
          <t>health/env checklist</t>
        </is>
      </c>
      <c r="J9" s="27" t="inlineStr">
        <is>
          <t>trigger decision proof</t>
        </is>
      </c>
      <c r="K9" s="27" t="inlineStr">
        <is>
          <t>trigger closed or escalated</t>
        </is>
      </c>
      <c r="L9" s="27" t="inlineStr">
        <is>
          <t>Decisions</t>
        </is>
      </c>
    </row>
    <row r="10">
      <c r="A10" s="27" t="inlineStr">
        <is>
          <t>PB-06</t>
        </is>
      </c>
      <c r="B10" s="27" t="inlineStr">
        <is>
          <t>Building / Fire / Life Safety</t>
        </is>
      </c>
      <c r="C10" s="27" t="inlineStr">
        <is>
          <t>Does the work need building/fire review or inspection?</t>
        </is>
      </c>
      <c r="D10" s="27" t="inlineStr">
        <is>
          <t>building/fire forms, plans, code notes</t>
        </is>
      </c>
      <c r="E10" s="27" t="inlineStr">
        <is>
          <t>construction type, occupancy, safety triggers</t>
        </is>
      </c>
      <c r="F10" s="27" t="inlineStr">
        <is>
          <t>plans, specs, contractor info</t>
        </is>
      </c>
      <c r="G10" s="27" t="inlineStr">
        <is>
          <t>safety/code lane gate</t>
        </is>
      </c>
      <c r="H10" s="27" t="inlineStr">
        <is>
          <t>operator manually bridging inspector questions</t>
        </is>
      </c>
      <c r="I10" s="27" t="inlineStr">
        <is>
          <t>building/fire lane note</t>
        </is>
      </c>
      <c r="J10" s="27" t="inlineStr">
        <is>
          <t>review/inspection proof</t>
        </is>
      </c>
      <c r="K10" s="27" t="inlineStr">
        <is>
          <t>ready for filing or flagged</t>
        </is>
      </c>
      <c r="L10" s="27" t="inlineStr">
        <is>
          <t>Decisions</t>
        </is>
      </c>
    </row>
    <row r="11">
      <c r="A11" s="27" t="inlineStr">
        <is>
          <t>PB-07</t>
        </is>
      </c>
      <c r="B11" s="27" t="inlineStr">
        <is>
          <t>Conservation / Stormwater / Wetlands</t>
        </is>
      </c>
      <c r="C11" s="27" t="inlineStr">
        <is>
          <t>Does land/water protection review apply?</t>
        </is>
      </c>
      <c r="D11" s="27" t="inlineStr">
        <is>
          <t>maps, site photos, conservation notes</t>
        </is>
      </c>
      <c r="E11" s="27" t="inlineStr">
        <is>
          <t>wetlands, buffer, stormwater, drainage</t>
        </is>
      </c>
      <c r="F11" s="27" t="inlineStr">
        <is>
          <t>site plan, photos, wetlands map</t>
        </is>
      </c>
      <c r="G11" s="27" t="inlineStr">
        <is>
          <t>conservation/stormwater gate</t>
        </is>
      </c>
      <c r="H11" s="27" t="inlineStr">
        <is>
          <t>late conservation surprise</t>
        </is>
      </c>
      <c r="I11" s="27" t="inlineStr">
        <is>
          <t>conservation lane note</t>
        </is>
      </c>
      <c r="J11" s="27" t="inlineStr">
        <is>
          <t>trigger proof captured</t>
        </is>
      </c>
      <c r="K11" s="27" t="inlineStr">
        <is>
          <t>lane closed or escalated</t>
        </is>
      </c>
      <c r="L11" s="27" t="inlineStr">
        <is>
          <t>Decisions</t>
        </is>
      </c>
    </row>
    <row r="12">
      <c r="A12" s="27" t="inlineStr">
        <is>
          <t>PB-08</t>
        </is>
      </c>
      <c r="B12" s="27" t="inlineStr">
        <is>
          <t>DPW / Utilities / Access</t>
        </is>
      </c>
      <c r="C12" s="27" t="inlineStr">
        <is>
          <t>Does the project affect road, driveway, water, sewer, drainage, or access?</t>
        </is>
      </c>
      <c r="D12" s="27" t="inlineStr">
        <is>
          <t>DPW forms, utility notes, site plan</t>
        </is>
      </c>
      <c r="E12" s="27" t="inlineStr">
        <is>
          <t>access, trench, utility, driveway facts</t>
        </is>
      </c>
      <c r="F12" s="27" t="inlineStr">
        <is>
          <t>driveway permit, utility plan, trench docs</t>
        </is>
      </c>
      <c r="G12" s="27" t="inlineStr">
        <is>
          <t>DPW/utility gate</t>
        </is>
      </c>
      <c r="H12" s="27" t="inlineStr">
        <is>
          <t>cross-department chasing</t>
        </is>
      </c>
      <c r="I12" s="27" t="inlineStr">
        <is>
          <t>DPW/utility lane record</t>
        </is>
      </c>
      <c r="J12" s="27" t="inlineStr">
        <is>
          <t>review proof</t>
        </is>
      </c>
      <c r="K12" s="27" t="inlineStr">
        <is>
          <t>lane ready or waiting</t>
        </is>
      </c>
      <c r="L12" s="27" t="inlineStr">
        <is>
          <t>Documents</t>
        </is>
      </c>
    </row>
    <row r="13">
      <c r="A13" s="27" t="inlineStr">
        <is>
          <t>PB-09</t>
        </is>
      </c>
      <c r="B13" s="27" t="inlineStr">
        <is>
          <t>Board / Notice / Hearing</t>
        </is>
      </c>
      <c r="C13" s="27" t="inlineStr">
        <is>
          <t>Does a board, public notice, abutter notice, or hearing control timing?</t>
        </is>
      </c>
      <c r="D13" s="27" t="inlineStr">
        <is>
          <t>town calendar, bylaws, notices</t>
        </is>
      </c>
      <c r="E13" s="27" t="inlineStr">
        <is>
          <t>board, deadline, hearing dates, notice rules</t>
        </is>
      </c>
      <c r="F13" s="27" t="inlineStr">
        <is>
          <t>notice draft, abutter list, agenda request</t>
        </is>
      </c>
      <c r="G13" s="27" t="inlineStr">
        <is>
          <t>calendar/notice gate</t>
        </is>
      </c>
      <c r="H13" s="27" t="inlineStr">
        <is>
          <t>missed meeting cycle</t>
        </is>
      </c>
      <c r="I13" s="27" t="inlineStr">
        <is>
          <t>hearing/notice timeline</t>
        </is>
      </c>
      <c r="J13" s="27" t="inlineStr">
        <is>
          <t>notice/hearing proof</t>
        </is>
      </c>
      <c r="K13" s="27" t="inlineStr">
        <is>
          <t>scheduled or no board needed</t>
        </is>
      </c>
      <c r="L13" s="27" t="inlineStr">
        <is>
          <t>Next Steps</t>
        </is>
      </c>
    </row>
    <row r="14">
      <c r="A14" s="27" t="inlineStr">
        <is>
          <t>PB-10</t>
        </is>
      </c>
      <c r="B14" s="27" t="inlineStr">
        <is>
          <t>Fees / Procurement / Vendor</t>
        </is>
      </c>
      <c r="C14" s="27" t="inlineStr">
        <is>
          <t>What money, quotes, vendors, or approvals must be in place?</t>
        </is>
      </c>
      <c r="D14" s="27" t="inlineStr">
        <is>
          <t>quotes, fee schedule, invoices</t>
        </is>
      </c>
      <c r="E14" s="27" t="inlineStr">
        <is>
          <t>fees, quote count, vendor responsibility</t>
        </is>
      </c>
      <c r="F14" s="27" t="inlineStr">
        <is>
          <t>quotes, W-9, fee calc, PO docs</t>
        </is>
      </c>
      <c r="G14" s="27" t="inlineStr">
        <is>
          <t>approval/procurement gate</t>
        </is>
      </c>
      <c r="H14" s="27" t="inlineStr">
        <is>
          <t>manual quote/approval bridge</t>
        </is>
      </c>
      <c r="I14" s="27" t="inlineStr">
        <is>
          <t>vendor/fee record</t>
        </is>
      </c>
      <c r="J14" s="27" t="inlineStr">
        <is>
          <t>approval proof</t>
        </is>
      </c>
      <c r="K14" s="27" t="inlineStr">
        <is>
          <t>approved or blocked</t>
        </is>
      </c>
      <c r="L14" s="27" t="inlineStr">
        <is>
          <t>Documents</t>
        </is>
      </c>
    </row>
    <row r="15">
      <c r="A15" s="27" t="inlineStr">
        <is>
          <t>PB-11</t>
        </is>
      </c>
      <c r="B15" s="27" t="inlineStr">
        <is>
          <t>Funding / Grant / Match</t>
        </is>
      </c>
      <c r="C15" s="27" t="inlineStr">
        <is>
          <t>Is money or grant readiness part of the bridge?</t>
        </is>
      </c>
      <c r="D15" s="27" t="inlineStr">
        <is>
          <t>NOFO, budget, match docs</t>
        </is>
      </c>
      <c r="E15" s="27" t="inlineStr">
        <is>
          <t>eligibility, match, partner, deadline</t>
        </is>
      </c>
      <c r="F15" s="27" t="inlineStr">
        <is>
          <t>budget, match letter, partner letters</t>
        </is>
      </c>
      <c r="G15" s="27" t="inlineStr">
        <is>
          <t>grant readiness gate</t>
        </is>
      </c>
      <c r="H15" s="27" t="inlineStr">
        <is>
          <t>grant scramble after permit lane starts</t>
        </is>
      </c>
      <c r="I15" s="27" t="inlineStr">
        <is>
          <t>funding lane note</t>
        </is>
      </c>
      <c r="J15" s="27" t="inlineStr">
        <is>
          <t>grant/match proof</t>
        </is>
      </c>
      <c r="K15" s="27" t="inlineStr">
        <is>
          <t>grant path/no-go sealed</t>
        </is>
      </c>
      <c r="L15" s="27" t="inlineStr">
        <is>
          <t>Decisions</t>
        </is>
      </c>
    </row>
    <row r="16">
      <c r="A16" s="27" t="inlineStr">
        <is>
          <t>PB-12</t>
        </is>
      </c>
      <c r="B16" s="27" t="inlineStr">
        <is>
          <t>Draft Packet / Correspondence</t>
        </is>
      </c>
      <c r="C16" s="27" t="inlineStr">
        <is>
          <t>What must be sent, and in what order?</t>
        </is>
      </c>
      <c r="D16" s="27" t="inlineStr">
        <is>
          <t>forms, drafts, emails, attachments</t>
        </is>
      </c>
      <c r="E16" s="27" t="inlineStr">
        <is>
          <t>recipient, packet components, open questions</t>
        </is>
      </c>
      <c r="F16" s="27" t="inlineStr">
        <is>
          <t>cover letter, forms, attachments</t>
        </is>
      </c>
      <c r="G16" s="27" t="inlineStr">
        <is>
          <t>ready-to-send gate</t>
        </is>
      </c>
      <c r="H16" s="27" t="inlineStr">
        <is>
          <t>Nate manually assembling from memory</t>
        </is>
      </c>
      <c r="I16" s="27" t="inlineStr">
        <is>
          <t>draft packet/checklist</t>
        </is>
      </c>
      <c r="J16" s="27" t="inlineStr">
        <is>
          <t>send proof</t>
        </is>
      </c>
      <c r="K16" s="27" t="inlineStr">
        <is>
          <t>packet sent or held</t>
        </is>
      </c>
      <c r="L16" s="27" t="inlineStr">
        <is>
          <t>Next Steps</t>
        </is>
      </c>
    </row>
    <row r="17">
      <c r="A17" s="27" t="inlineStr">
        <is>
          <t>PB-13</t>
        </is>
      </c>
      <c r="B17" s="27" t="inlineStr">
        <is>
          <t>Inspection / Closeout</t>
        </is>
      </c>
      <c r="C17" s="27" t="inlineStr">
        <is>
          <t>How does this finish and what proof survives?</t>
        </is>
      </c>
      <c r="D17" s="27" t="inlineStr">
        <is>
          <t>inspection notes, photos, approvals</t>
        </is>
      </c>
      <c r="E17" s="27" t="inlineStr">
        <is>
          <t>inspection result, conditions, closeout docs</t>
        </is>
      </c>
      <c r="F17" s="27" t="inlineStr">
        <is>
          <t>inspection report, photos, final approval</t>
        </is>
      </c>
      <c r="G17" s="27" t="inlineStr">
        <is>
          <t>seal gate</t>
        </is>
      </c>
      <c r="H17" s="27" t="inlineStr">
        <is>
          <t>no one knows what happened after approval</t>
        </is>
      </c>
      <c r="I17" s="27" t="inlineStr">
        <is>
          <t>sealed record + rollup</t>
        </is>
      </c>
      <c r="J17" s="27" t="inlineStr">
        <is>
          <t>closeout proof</t>
        </is>
      </c>
      <c r="K17" s="27" t="inlineStr">
        <is>
          <t>ARCHIEVE sealed child rollup</t>
        </is>
      </c>
      <c r="L17" s="27" t="inlineStr">
        <is>
          <t>Record</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22" customWidth="1" style="30" min="1" max="1"/>
    <col width="26" customWidth="1" style="30" min="2" max="2"/>
    <col width="34" customWidth="1" style="30" min="3" max="3"/>
    <col width="18" customWidth="1" style="30" min="4" max="4"/>
    <col width="36" customWidth="1" style="30" min="5" max="5"/>
    <col width="30" customWidth="1" style="30" min="6" max="6"/>
    <col width="30" customWidth="1" style="30" min="7" max="7"/>
    <col width="32" customWidth="1" style="30" min="8" max="8"/>
    <col width="34" customWidth="1" style="30" min="9" max="9"/>
    <col width="18" customWidth="1" style="30" min="10" max="10"/>
  </cols>
  <sheetData>
    <row r="1" ht="30" customHeight="1" s="30">
      <c r="A1" s="4" t="inlineStr">
        <is>
          <t>All Doors, Same System</t>
        </is>
      </c>
      <c r="B1" s="4" t="n"/>
      <c r="C1" s="4" t="n"/>
      <c r="D1" s="4" t="n"/>
      <c r="E1" s="4" t="n"/>
      <c r="F1" s="4" t="n"/>
      <c r="G1" s="4" t="n"/>
      <c r="H1" s="4" t="n"/>
      <c r="I1" s="4" t="n"/>
      <c r="J1" s="4" t="n"/>
    </row>
    <row r="2" ht="30" customHeight="1" s="30">
      <c r="A2" s="10" t="inlineStr">
        <is>
          <t>Time &amp; attendance, permits, grants, STAY, LIVE, and client work are doors into the same four-action loop: Capture, Classify, Advance, Seal.</t>
        </is>
      </c>
      <c r="B2" s="10" t="n"/>
      <c r="C2" s="10" t="n"/>
      <c r="D2" s="10" t="n"/>
      <c r="E2" s="10" t="n"/>
      <c r="F2" s="10" t="n"/>
      <c r="G2" s="10" t="n"/>
      <c r="H2" s="10" t="n"/>
      <c r="I2" s="10" t="n"/>
      <c r="J2" s="10" t="n"/>
    </row>
    <row r="4">
      <c r="A4" s="26" t="inlineStr">
        <is>
          <t>Door</t>
        </is>
      </c>
      <c r="B4" s="26" t="inlineStr">
        <is>
          <t>Friendly Entry</t>
        </is>
      </c>
      <c r="C4" s="26" t="inlineStr">
        <is>
          <t>Capture Input</t>
        </is>
      </c>
      <c r="D4" s="26" t="inlineStr">
        <is>
          <t>CaseSpace Skin</t>
        </is>
      </c>
      <c r="E4" s="26" t="inlineStr">
        <is>
          <t>Common Child Cases</t>
        </is>
      </c>
      <c r="F4" s="26" t="inlineStr">
        <is>
          <t>Advance Gate</t>
        </is>
      </c>
      <c r="G4" s="26" t="inlineStr">
        <is>
          <t>Seal Output</t>
        </is>
      </c>
      <c r="H4" s="26" t="inlineStr">
        <is>
          <t>Client Sees</t>
        </is>
      </c>
      <c r="I4" s="26" t="inlineStr">
        <is>
          <t>System Keeps</t>
        </is>
      </c>
      <c r="J4" s="26" t="inlineStr">
        <is>
          <t>Not Separate Product</t>
        </is>
      </c>
    </row>
    <row r="5">
      <c r="A5" s="27" t="inlineStr">
        <is>
          <t>Path Sheet Entry</t>
        </is>
      </c>
      <c r="B5" s="27" t="inlineStr">
        <is>
          <t>Start with messy facts</t>
        </is>
      </c>
      <c r="C5" s="27" t="inlineStr">
        <is>
          <t>intake answers, files, links</t>
        </is>
      </c>
      <c r="D5" s="27" t="inlineStr">
        <is>
          <t>ALL / triage</t>
        </is>
      </c>
      <c r="E5" s="27" t="inlineStr">
        <is>
          <t>Missing Fact; Needed Document; Question</t>
        </is>
      </c>
      <c r="F5" s="27" t="inlineStr">
        <is>
          <t>Bridge score + recommended next step</t>
        </is>
      </c>
      <c r="G5" s="27" t="inlineStr">
        <is>
          <t>Path Sheet + CaseSpace seed</t>
        </is>
      </c>
      <c r="H5" s="27" t="inlineStr">
        <is>
          <t>plain path and next step</t>
        </is>
      </c>
      <c r="I5" s="27" t="inlineStr">
        <is>
          <t>record fields + initial proof</t>
        </is>
      </c>
      <c r="J5" s="27" t="inlineStr">
        <is>
          <t>Yes</t>
        </is>
      </c>
    </row>
    <row r="6">
      <c r="A6" s="27" t="inlineStr">
        <is>
          <t>Permit &amp; Bridge</t>
        </is>
      </c>
      <c r="B6" s="27" t="inlineStr">
        <is>
          <t>Start a permit/readiness review</t>
        </is>
      </c>
      <c r="C6" s="27" t="inlineStr">
        <is>
          <t>property/project facts, docs, deadlines</t>
        </is>
      </c>
      <c r="D6" s="27" t="inlineStr">
        <is>
          <t>MUNI</t>
        </is>
      </c>
      <c r="E6" s="27" t="inlineStr">
        <is>
          <t>Lane Review; Agency Question; Draft Filing</t>
        </is>
      </c>
      <c r="F6" s="27" t="inlineStr">
        <is>
          <t>lane gate + authority/site checks</t>
        </is>
      </c>
      <c r="G6" s="27" t="inlineStr">
        <is>
          <t>readiness packet + send proof</t>
        </is>
      </c>
      <c r="H6" s="27" t="inlineStr">
        <is>
          <t>likely lanes, missing docs, next step</t>
        </is>
      </c>
      <c r="I6" s="27" t="inlineStr">
        <is>
          <t>lane decisions + proof events</t>
        </is>
      </c>
      <c r="J6" s="27" t="inlineStr">
        <is>
          <t>Yes</t>
        </is>
      </c>
    </row>
    <row r="7">
      <c r="A7" s="27" t="inlineStr">
        <is>
          <t>Grant Readiness</t>
        </is>
      </c>
      <c r="B7" s="27" t="inlineStr">
        <is>
          <t>Check a grant opportunity</t>
        </is>
      </c>
      <c r="C7" s="27" t="inlineStr">
        <is>
          <t>NOFO, budget, partners</t>
        </is>
      </c>
      <c r="D7" s="27" t="inlineStr">
        <is>
          <t>GRANT</t>
        </is>
      </c>
      <c r="E7" s="27" t="inlineStr">
        <is>
          <t>Eligibility; Match; Narrative; Submission</t>
        </is>
      </c>
      <c r="F7" s="27" t="inlineStr">
        <is>
          <t>eligibility + authority + match gate</t>
        </is>
      </c>
      <c r="G7" s="27" t="inlineStr">
        <is>
          <t>application/no-go proof</t>
        </is>
      </c>
      <c r="H7" s="27" t="inlineStr">
        <is>
          <t>eligibility, missing facts, deadline</t>
        </is>
      </c>
      <c r="I7" s="27" t="inlineStr">
        <is>
          <t>submission/readiness proof</t>
        </is>
      </c>
      <c r="J7" s="27" t="inlineStr">
        <is>
          <t>Yes</t>
        </is>
      </c>
    </row>
    <row r="8">
      <c r="A8" s="27" t="inlineStr">
        <is>
          <t>STAY Property Memory</t>
        </is>
      </c>
      <c r="B8" s="27" t="inlineStr">
        <is>
          <t>Run the property record</t>
        </is>
      </c>
      <c r="C8" s="27" t="inlineStr">
        <is>
          <t>booking, cleaner, vendor, receipt</t>
        </is>
      </c>
      <c r="D8" s="27" t="inlineStr">
        <is>
          <t>STAY</t>
        </is>
      </c>
      <c r="E8" s="27" t="inlineStr">
        <is>
          <t>Guest Stay; Turnover; Maintenance; Incident</t>
        </is>
      </c>
      <c r="F8" s="27" t="inlineStr">
        <is>
          <t>occupancy/cleaning/maintenance precondition</t>
        </is>
      </c>
      <c r="G8" s="27" t="inlineStr">
        <is>
          <t>closed stay/issue + proof</t>
        </is>
      </c>
      <c r="H8" s="27" t="inlineStr">
        <is>
          <t>documents, decisions, next steps</t>
        </is>
      </c>
      <c r="I8" s="27" t="inlineStr">
        <is>
          <t>property memory rollup</t>
        </is>
      </c>
      <c r="J8" s="27" t="inlineStr">
        <is>
          <t>Yes</t>
        </is>
      </c>
    </row>
    <row r="9">
      <c r="A9" s="27" t="inlineStr">
        <is>
          <t>Time &amp; Attendance</t>
        </is>
      </c>
      <c r="B9" s="27" t="inlineStr">
        <is>
          <t>Approve a shift/timesheet</t>
        </is>
      </c>
      <c r="C9" s="27" t="inlineStr">
        <is>
          <t>clock events, schedule, supervisor notes</t>
        </is>
      </c>
      <c r="D9" s="27" t="inlineStr">
        <is>
          <t>PEOPLE</t>
        </is>
      </c>
      <c r="E9" s="27" t="inlineStr">
        <is>
          <t>Shift; Leave; Overtime; Timesheet</t>
        </is>
      </c>
      <c r="F9" s="27" t="inlineStr">
        <is>
          <t>supervisor approval + payroll export gate</t>
        </is>
      </c>
      <c r="G9" s="27" t="inlineStr">
        <is>
          <t>approved/exported timesheet proof</t>
        </is>
      </c>
      <c r="H9" s="27" t="inlineStr">
        <is>
          <t>what needs approval or correction</t>
        </is>
      </c>
      <c r="I9" s="27" t="inlineStr">
        <is>
          <t>audit record + exception notes</t>
        </is>
      </c>
      <c r="J9" s="27" t="inlineStr">
        <is>
          <t>Yes</t>
        </is>
      </c>
    </row>
    <row r="10">
      <c r="A10" s="27" t="inlineStr">
        <is>
          <t>Client Deliverable</t>
        </is>
      </c>
      <c r="B10" s="27" t="inlineStr">
        <is>
          <t>Move a client project</t>
        </is>
      </c>
      <c r="C10" s="27" t="inlineStr">
        <is>
          <t>email, docs, meeting notes</t>
        </is>
      </c>
      <c r="D10" s="27" t="inlineStr">
        <is>
          <t>BIZ</t>
        </is>
      </c>
      <c r="E10" s="27" t="inlineStr">
        <is>
          <t>Task; Draft; Decision; Invoice; Handoff</t>
        </is>
      </c>
      <c r="F10" s="27" t="inlineStr">
        <is>
          <t>ready-to-send gate</t>
        </is>
      </c>
      <c r="G10" s="27" t="inlineStr">
        <is>
          <t>sent deliverable + record</t>
        </is>
      </c>
      <c r="H10" s="27" t="inlineStr">
        <is>
          <t>status, needed input, next step</t>
        </is>
      </c>
      <c r="I10" s="27" t="inlineStr">
        <is>
          <t>decision/delivery proof</t>
        </is>
      </c>
      <c r="J10" s="27" t="inlineStr">
        <is>
          <t>Yes</t>
        </is>
      </c>
    </row>
    <row r="11">
      <c r="A11" s="27" t="inlineStr">
        <is>
          <t>Release / Deployment</t>
        </is>
      </c>
      <c r="B11" s="27" t="inlineStr">
        <is>
          <t>Move local/live code safely</t>
        </is>
      </c>
      <c r="C11" s="27" t="inlineStr">
        <is>
          <t>GitHub, local scripts, Vercel, logs</t>
        </is>
      </c>
      <c r="D11" s="27" t="inlineStr">
        <is>
          <t>LIVE</t>
        </is>
      </c>
      <c r="E11" s="27" t="inlineStr">
        <is>
          <t>Bug; Feature; Release; Incident</t>
        </is>
      </c>
      <c r="F11" s="27" t="inlineStr">
        <is>
          <t>surface-not-state + deploy checklist</t>
        </is>
      </c>
      <c r="G11" s="27" t="inlineStr">
        <is>
          <t>release/incident proof</t>
        </is>
      </c>
      <c r="H11" s="27" t="inlineStr">
        <is>
          <t>current status and what changed</t>
        </is>
      </c>
      <c r="I11" s="27" t="inlineStr">
        <is>
          <t>release notes + deploy proof</t>
        </is>
      </c>
      <c r="J11" s="27" t="inlineStr">
        <is>
          <t>Yes</t>
        </is>
      </c>
    </row>
    <row r="12">
      <c r="A12" s="27" t="inlineStr">
        <is>
          <t>Maintenance / Incident</t>
        </is>
      </c>
      <c r="B12" s="27" t="inlineStr">
        <is>
          <t>Close a real-world issue</t>
        </is>
      </c>
      <c r="C12" s="27" t="inlineStr">
        <is>
          <t>photo, text, vendor quote, inspection</t>
        </is>
      </c>
      <c r="D12" s="27" t="inlineStr">
        <is>
          <t>PROPERTY</t>
        </is>
      </c>
      <c r="E12" s="27" t="inlineStr">
        <is>
          <t>Issue; Vendor; Inspection; Receipt</t>
        </is>
      </c>
      <c r="F12" s="27" t="inlineStr">
        <is>
          <t>risk/safety + repair gate</t>
        </is>
      </c>
      <c r="G12" s="27" t="inlineStr">
        <is>
          <t>closed issue + before/after proof</t>
        </is>
      </c>
      <c r="H12" s="27" t="inlineStr">
        <is>
          <t>risk, vendor status, next action</t>
        </is>
      </c>
      <c r="I12" s="27" t="inlineStr">
        <is>
          <t>repair proof + receipt</t>
        </is>
      </c>
      <c r="J12" s="27" t="inlineStr">
        <is>
          <t>Yes</t>
        </is>
      </c>
    </row>
    <row r="13">
      <c r="A13" s="27" t="inlineStr">
        <is>
          <t>Public Records / Board Packet</t>
        </is>
      </c>
      <c r="B13" s="27" t="inlineStr">
        <is>
          <t>Assemble a record or packet</t>
        </is>
      </c>
      <c r="C13" s="27" t="inlineStr">
        <is>
          <t>request, agenda item, attachments</t>
        </is>
      </c>
      <c r="D13" s="27" t="inlineStr">
        <is>
          <t>MUNI</t>
        </is>
      </c>
      <c r="E13" s="27" t="inlineStr">
        <is>
          <t>Request; Document; Review; Packet Item</t>
        </is>
      </c>
      <c r="F13" s="27" t="inlineStr">
        <is>
          <t>deadline + review gate</t>
        </is>
      </c>
      <c r="G13" s="27" t="inlineStr">
        <is>
          <t>published/sent proof</t>
        </is>
      </c>
      <c r="H13" s="27" t="inlineStr">
        <is>
          <t>documents, decisions, next steps</t>
        </is>
      </c>
      <c r="I13" s="27" t="inlineStr">
        <is>
          <t>response/packet proof</t>
        </is>
      </c>
      <c r="J13" s="27" t="inlineStr">
        <is>
          <t>Yes</t>
        </is>
      </c>
    </row>
    <row r="14">
      <c r="A14" s="27" t="inlineStr">
        <is>
          <t>Policy / SOP</t>
        </is>
      </c>
      <c r="B14" s="27" t="inlineStr">
        <is>
          <t>Steward continuity</t>
        </is>
      </c>
      <c r="C14" s="27" t="inlineStr">
        <is>
          <t>drafts, notes, decisions, approvals</t>
        </is>
      </c>
      <c r="D14" s="27" t="inlineStr">
        <is>
          <t>CONTINUITY</t>
        </is>
      </c>
      <c r="E14" s="27" t="inlineStr">
        <is>
          <t>Draft; Decision; Training; Acknowledgment</t>
        </is>
      </c>
      <c r="F14" s="27" t="inlineStr">
        <is>
          <t>approval/ratification gate</t>
        </is>
      </c>
      <c r="G14" s="27" t="inlineStr">
        <is>
          <t>ratified SOP/policy record</t>
        </is>
      </c>
      <c r="H14" s="27" t="inlineStr">
        <is>
          <t>what changed and who decided</t>
        </is>
      </c>
      <c r="I14" s="27" t="inlineStr">
        <is>
          <t>decision + training proof</t>
        </is>
      </c>
      <c r="J14" s="27" t="inlineStr">
        <is>
          <t>Yes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24" customWidth="1" style="30" min="1" max="1"/>
    <col width="18" customWidth="1" style="30" min="2" max="2"/>
    <col width="18" customWidth="1" style="30" min="3" max="3"/>
    <col width="18" customWidth="1" style="30" min="4" max="4"/>
    <col width="22" customWidth="1" style="30" min="5" max="5"/>
    <col width="44" customWidth="1" style="30" min="6" max="6"/>
  </cols>
  <sheetData>
    <row r="1" ht="30" customHeight="1" s="30">
      <c r="A1" s="4" t="inlineStr">
        <is>
          <t>Time &amp; Attendance Work Pack — A Template, Not an HRIS</t>
        </is>
      </c>
      <c r="B1" s="4" t="n"/>
      <c r="C1" s="4" t="n"/>
      <c r="D1" s="4" t="n"/>
      <c r="E1" s="4" t="n"/>
      <c r="F1" s="4" t="n"/>
      <c r="G1" s="4" t="n"/>
      <c r="H1" s="4" t="n"/>
      <c r="I1" s="4" t="n"/>
    </row>
    <row r="2" ht="30" customHeight="1" s="30">
      <c r="A2" s="10" t="inlineStr">
        <is>
          <t>One template among many. Users compose their own experience from templates, tools, and information; time &amp; attendance is a single work pack door, not the output. It is not an HRIS.</t>
        </is>
      </c>
      <c r="B2" s="10" t="n"/>
      <c r="C2" s="10" t="n"/>
      <c r="D2" s="10" t="n"/>
      <c r="E2" s="10" t="n"/>
      <c r="F2" s="10" t="n"/>
      <c r="G2" s="10" t="n"/>
      <c r="H2" s="10" t="n"/>
      <c r="I2" s="10" t="n"/>
    </row>
    <row r="4">
      <c r="A4" s="26" t="inlineStr">
        <is>
          <t>Item</t>
        </is>
      </c>
      <c r="B4" s="26" t="inlineStr">
        <is>
          <t>Definition</t>
        </is>
      </c>
      <c r="C4" s="26" t="inlineStr">
        <is>
          <t>Canonical Rule / Build Note</t>
        </is>
      </c>
      <c r="D4" s="26" t="inlineStr">
        <is>
          <t>Fence</t>
        </is>
      </c>
    </row>
    <row r="5">
      <c r="A5" s="27" t="inlineStr">
        <is>
          <t>Doctrine</t>
        </is>
      </c>
      <c r="B5" s="27" t="inlineStr">
        <is>
          <t>PublicLogic does not sell timekeeping software.</t>
        </is>
      </c>
      <c r="C5" s="27" t="inlineStr">
        <is>
          <t>Time &amp; Attendance is a work pack door into CaseSpace. It organizes and proves time-related work without replacing HRIS/payroll.</t>
        </is>
      </c>
      <c r="D5" s="27" t="inlineStr">
        <is>
          <t>Doctrine</t>
        </is>
      </c>
    </row>
    <row r="6">
      <c r="A6" s="27" t="inlineStr">
        <is>
          <t>Standing CaseSpace</t>
        </is>
      </c>
      <c r="B6" s="27" t="inlineStr">
        <is>
          <t>Department / Crew / Project / Property</t>
        </is>
      </c>
      <c r="C6" s="27" t="inlineStr">
        <is>
          <t>Ongoing unit containing shift, leave, overtime, training, incident, and timesheet children.</t>
        </is>
      </c>
      <c r="D6" s="27" t="inlineStr">
        <is>
          <t>Doctrine</t>
        </is>
      </c>
    </row>
    <row r="7">
      <c r="A7" s="27" t="inlineStr">
        <is>
          <t>Closing Child: Shift</t>
        </is>
      </c>
      <c r="B7" s="27" t="inlineStr">
        <is>
          <t>Finite work window</t>
        </is>
      </c>
      <c r="C7" s="27" t="inlineStr">
        <is>
          <t>Captures date, person, role, location/project, clock in/out, exception note, supervisor.</t>
        </is>
      </c>
      <c r="D7" s="27" t="inlineStr">
        <is>
          <t>Template</t>
        </is>
      </c>
    </row>
    <row r="8">
      <c r="A8" s="27" t="inlineStr">
        <is>
          <t>Closing Child: Timesheet</t>
        </is>
      </c>
      <c r="B8" s="27" t="inlineStr">
        <is>
          <t>Payroll-period record</t>
        </is>
      </c>
      <c r="C8" s="27" t="inlineStr">
        <is>
          <t>Rolls up shifts, leave, overtime, missing approvals, and payroll export proof.</t>
        </is>
      </c>
      <c r="D8" s="27" t="inlineStr">
        <is>
          <t>Template</t>
        </is>
      </c>
    </row>
    <row r="9">
      <c r="A9" s="27" t="inlineStr">
        <is>
          <t>Closing Child: Leave</t>
        </is>
      </c>
      <c r="B9" s="27" t="inlineStr">
        <is>
          <t>Leave request/approval</t>
        </is>
      </c>
      <c r="C9" s="27" t="inlineStr">
        <is>
          <t>Captures request, balance/source system reference, supervisor decision, coverage impact.</t>
        </is>
      </c>
      <c r="D9" s="27" t="inlineStr">
        <is>
          <t>Template</t>
        </is>
      </c>
    </row>
    <row r="10">
      <c r="A10" s="27" t="inlineStr">
        <is>
          <t>Closing Child: Overtime</t>
        </is>
      </c>
      <c r="B10" s="27" t="inlineStr">
        <is>
          <t>Exception/approval</t>
        </is>
      </c>
      <c r="C10" s="27" t="inlineStr">
        <is>
          <t>Captures reason, authorization, hours, project/cost center, approval proof.</t>
        </is>
      </c>
      <c r="D10" s="27" t="inlineStr">
        <is>
          <t>Template</t>
        </is>
      </c>
    </row>
    <row r="11">
      <c r="A11" s="27" t="inlineStr">
        <is>
          <t>Closing Child: Training</t>
        </is>
      </c>
      <c r="B11" s="27" t="inlineStr">
        <is>
          <t>Completion/proof</t>
        </is>
      </c>
      <c r="C11" s="27" t="inlineStr">
        <is>
          <t>Captures required training, due date, completion record, certificate/photo/document.</t>
        </is>
      </c>
      <c r="D11" s="27" t="inlineStr">
        <is>
          <t>Template</t>
        </is>
      </c>
    </row>
    <row r="12">
      <c r="A12" s="27" t="inlineStr">
        <is>
          <t>Closing Child: Incident</t>
        </is>
      </c>
      <c r="B12" s="27" t="inlineStr">
        <is>
          <t>Time-related incident</t>
        </is>
      </c>
      <c r="C12" s="27" t="inlineStr">
        <is>
          <t>Captures late/no-show/injury/exception, supervisor note, decision, closeout proof.</t>
        </is>
      </c>
      <c r="D12" s="27" t="inlineStr">
        <is>
          <t>Template</t>
        </is>
      </c>
    </row>
    <row r="13">
      <c r="A13" s="27" t="inlineStr">
        <is>
          <t>Capture Sources</t>
        </is>
      </c>
      <c r="B13" s="27" t="inlineStr">
        <is>
          <t>Clock/time entries, schedule, calendar, supervisor notes, employee messages, payroll export, photos/docs</t>
        </is>
      </c>
      <c r="C13" s="27" t="inlineStr">
        <is>
          <t>Sources are not the record. They are captured into CaseSpace.</t>
        </is>
      </c>
      <c r="D13" s="27" t="inlineStr">
        <is>
          <t>Doctrine</t>
        </is>
      </c>
    </row>
    <row r="14">
      <c r="A14" s="27" t="inlineStr">
        <is>
          <t>Classify Fields</t>
        </is>
      </c>
      <c r="B14" s="27" t="inlineStr">
        <is>
          <t>person, role, department, project/property, date, shift window, exception type, approval status</t>
        </is>
      </c>
      <c r="C14" s="27" t="inlineStr">
        <is>
          <t>Makes records searchable/rollup-ready without exposing AI/search plumbing.</t>
        </is>
      </c>
      <c r="D14" s="27" t="inlineStr">
        <is>
          <t>Build Spec</t>
        </is>
      </c>
    </row>
    <row r="15">
      <c r="A15" s="27" t="inlineStr">
        <is>
          <t>Advance Gates</t>
        </is>
      </c>
      <c r="B15" s="27" t="inlineStr">
        <is>
          <t>Supervisor approval; exception review; payroll export readiness; compliance/risk review</t>
        </is>
      </c>
      <c r="C15" s="27" t="inlineStr">
        <is>
          <t>No payroll handoff until approval and exceptions are accounted for.</t>
        </is>
      </c>
      <c r="D15" s="27" t="inlineStr">
        <is>
          <t>Doctrine</t>
        </is>
      </c>
    </row>
    <row r="16">
      <c r="A16" s="27" t="inlineStr">
        <is>
          <t>Seal Outputs</t>
        </is>
      </c>
      <c r="B16" s="27" t="inlineStr">
        <is>
          <t>approved shift, approved timesheet, leave decision, overtime approval, training completion, incident closeout, payroll export proof</t>
        </is>
      </c>
      <c r="C16" s="27" t="inlineStr">
        <is>
          <t>Seal creates audit record and rolls up to standing parent view.</t>
        </is>
      </c>
      <c r="D16" s="27" t="inlineStr">
        <is>
          <t>Doctrine</t>
        </is>
      </c>
    </row>
    <row r="17">
      <c r="A17" s="27" t="inlineStr">
        <is>
          <t>Dashboard Buckets</t>
        </is>
      </c>
      <c r="B17" s="27" t="inlineStr">
        <is>
          <t>Ready for Approval; Exceptions; Missing Proof; Payroll Ready; Waiting on Employee; Waiting on Supervisor; Recently Sealed</t>
        </is>
      </c>
      <c r="C17" s="27" t="inlineStr">
        <is>
          <t>Views over CaseSpace state, not separate systems.</t>
        </is>
      </c>
      <c r="D17" s="27" t="inlineStr">
        <is>
          <t>Build Spec</t>
        </is>
      </c>
    </row>
    <row r="20">
      <c r="A20" s="26" t="inlineStr">
        <is>
          <t>Bridge Component</t>
        </is>
      </c>
      <c r="B20" s="26" t="inlineStr">
        <is>
          <t>Score 0</t>
        </is>
      </c>
      <c r="C20" s="26" t="inlineStr">
        <is>
          <t>Score 1</t>
        </is>
      </c>
      <c r="D20" s="26" t="inlineStr">
        <is>
          <t>Score 2</t>
        </is>
      </c>
      <c r="E20" s="26" t="inlineStr">
        <is>
          <t>Score 3</t>
        </is>
      </c>
      <c r="F20" s="26" t="inlineStr">
        <is>
          <t>Notes</t>
        </is>
      </c>
    </row>
    <row r="21">
      <c r="A21" s="27" t="inlineStr">
        <is>
          <t>Systems involved</t>
        </is>
      </c>
      <c r="B21" s="27" t="inlineStr">
        <is>
          <t>1 system</t>
        </is>
      </c>
      <c r="C21" s="27" t="inlineStr">
        <is>
          <t>2 systems</t>
        </is>
      </c>
      <c r="D21" s="27" t="inlineStr">
        <is>
          <t>3 systems</t>
        </is>
      </c>
      <c r="E21" s="27" t="inlineStr">
        <is>
          <t>4+ systems</t>
        </is>
      </c>
      <c r="F21" s="27" t="inlineStr">
        <is>
          <t>Clock/calendar/payroll/spreadsheet/email count as separate systems</t>
        </is>
      </c>
    </row>
    <row r="22">
      <c r="A22" s="27" t="inlineStr">
        <is>
          <t>Manual re-entry</t>
        </is>
      </c>
      <c r="B22" s="27" t="inlineStr">
        <is>
          <t>none</t>
        </is>
      </c>
      <c r="C22" s="27" t="inlineStr">
        <is>
          <t>one re-entry</t>
        </is>
      </c>
      <c r="D22" s="27" t="inlineStr">
        <is>
          <t>two re-entries</t>
        </is>
      </c>
      <c r="E22" s="27" t="inlineStr">
        <is>
          <t>three+ re-entries</t>
        </is>
      </c>
      <c r="F22" s="27" t="inlineStr">
        <is>
          <t>Human-bridge burden</t>
        </is>
      </c>
    </row>
    <row r="23">
      <c r="A23" s="27" t="inlineStr">
        <is>
          <t>People/approvers</t>
        </is>
      </c>
      <c r="B23" s="27" t="inlineStr">
        <is>
          <t>1 person</t>
        </is>
      </c>
      <c r="C23" s="27" t="inlineStr">
        <is>
          <t>2 people</t>
        </is>
      </c>
      <c r="D23" s="27" t="inlineStr">
        <is>
          <t>3 people</t>
        </is>
      </c>
      <c r="E23" s="27" t="inlineStr">
        <is>
          <t>4+ people</t>
        </is>
      </c>
      <c r="F23" s="27" t="inlineStr">
        <is>
          <t>Employee, supervisor, payroll, HR/admin</t>
        </is>
      </c>
    </row>
    <row r="24">
      <c r="A24" s="27" t="inlineStr">
        <is>
          <t>Compliance/deadline risk</t>
        </is>
      </c>
      <c r="B24" s="27" t="inlineStr">
        <is>
          <t>none</t>
        </is>
      </c>
      <c r="C24" s="27" t="inlineStr">
        <is>
          <t>internal deadline</t>
        </is>
      </c>
      <c r="D24" s="27" t="inlineStr">
        <is>
          <t>payroll deadline</t>
        </is>
      </c>
      <c r="E24" s="27" t="inlineStr">
        <is>
          <t>law/contract/compliance risk</t>
        </is>
      </c>
      <c r="F24" s="27" t="inlineStr">
        <is>
          <t>Municipal/labor contexts increase risk</t>
        </is>
      </c>
    </row>
    <row r="25">
      <c r="A25" s="27" t="inlineStr">
        <is>
          <t>Missing proof burden</t>
        </is>
      </c>
      <c r="B25" s="27" t="inlineStr">
        <is>
          <t>none</t>
        </is>
      </c>
      <c r="C25" s="27" t="inlineStr">
        <is>
          <t>minor proof missing</t>
        </is>
      </c>
      <c r="D25" s="27" t="inlineStr">
        <is>
          <t>multiple proofs missing</t>
        </is>
      </c>
      <c r="E25" s="27" t="inlineStr">
        <is>
          <t>core proof missing</t>
        </is>
      </c>
      <c r="F25" s="27" t="inlineStr">
        <is>
          <t>Approvals/certificates/export receipts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4" customWidth="1" style="30" min="1" max="1"/>
    <col width="34" customWidth="1" style="30" min="2" max="2"/>
    <col width="70" customWidth="1" style="30" min="3" max="3"/>
    <col width="34" customWidth="1" style="30" min="4" max="4"/>
    <col width="24" customWidth="1" style="30" min="5" max="5"/>
  </cols>
  <sheetData>
    <row r="1" ht="30" customHeight="1" s="30">
      <c r="A1" s="4" t="inlineStr">
        <is>
          <t>Path Sheet Generator MVP</t>
        </is>
      </c>
      <c r="B1" s="4" t="n"/>
      <c r="C1" s="4" t="n"/>
      <c r="D1" s="4" t="n"/>
      <c r="E1" s="4" t="n"/>
      <c r="F1" s="4" t="n"/>
      <c r="G1" s="4" t="n"/>
    </row>
    <row r="2" ht="30" customHeight="1" s="30">
      <c r="A2" s="10" t="inlineStr">
        <is>
          <t>First clickable proof: Intake answers → Path Sheet → Bridge Rating → CaseSpace seed → Next Steps.</t>
        </is>
      </c>
      <c r="B2" s="10" t="n"/>
      <c r="C2" s="10" t="n"/>
      <c r="D2" s="10" t="n"/>
      <c r="E2" s="10" t="n"/>
      <c r="F2" s="10" t="n"/>
      <c r="G2" s="10" t="n"/>
    </row>
    <row r="4">
      <c r="A4" s="26" t="inlineStr">
        <is>
          <t>Field</t>
        </is>
      </c>
      <c r="B4" s="26" t="inlineStr">
        <is>
          <t>Type</t>
        </is>
      </c>
      <c r="C4" s="26" t="inlineStr">
        <is>
          <t>Prompt / Meaning</t>
        </is>
      </c>
      <c r="D4" s="26" t="inlineStr">
        <is>
          <t>Required?</t>
        </is>
      </c>
      <c r="E4" s="26" t="inlineStr">
        <is>
          <t>Output Surface</t>
        </is>
      </c>
    </row>
    <row r="5">
      <c r="A5" s="27" t="inlineStr">
        <is>
          <t>Desired Outcome</t>
        </is>
      </c>
      <c r="B5" s="27" t="inlineStr">
        <is>
          <t>text</t>
        </is>
      </c>
      <c r="C5" s="27" t="inlineStr">
        <is>
          <t>What are we trying to get done?</t>
        </is>
      </c>
      <c r="D5" s="27" t="inlineStr">
        <is>
          <t>Required</t>
        </is>
      </c>
      <c r="E5" s="27" t="inlineStr">
        <is>
          <t>Path Sheet</t>
        </is>
      </c>
    </row>
    <row r="6">
      <c r="A6" s="27" t="inlineStr">
        <is>
          <t>Matter Type</t>
        </is>
      </c>
      <c r="B6" s="27" t="inlineStr">
        <is>
          <t>list</t>
        </is>
      </c>
      <c r="C6" s="27" t="inlineStr">
        <is>
          <t>STAY/MUNI/BIZ/GRANT/LIVE/HOME/PEOPLE/OPS/PROPERTY</t>
        </is>
      </c>
      <c r="D6" s="27" t="inlineStr">
        <is>
          <t>Required</t>
        </is>
      </c>
      <c r="E6" s="27" t="inlineStr">
        <is>
          <t>CaseSpace seed</t>
        </is>
      </c>
    </row>
    <row r="7">
      <c r="A7" s="27" t="inlineStr">
        <is>
          <t>Current Reality</t>
        </is>
      </c>
      <c r="B7" s="27" t="inlineStr">
        <is>
          <t>text</t>
        </is>
      </c>
      <c r="C7" s="27" t="inlineStr">
        <is>
          <t>What is true today?</t>
        </is>
      </c>
      <c r="D7" s="27" t="inlineStr">
        <is>
          <t>Required</t>
        </is>
      </c>
      <c r="E7" s="27" t="inlineStr">
        <is>
          <t>Path Sheet</t>
        </is>
      </c>
    </row>
    <row r="8">
      <c r="A8" s="27" t="inlineStr">
        <is>
          <t>Known Facts</t>
        </is>
      </c>
      <c r="B8" s="27" t="inlineStr">
        <is>
          <t>array</t>
        </is>
      </c>
      <c r="C8" s="27" t="inlineStr">
        <is>
          <t>Facts already available</t>
        </is>
      </c>
      <c r="D8" s="27" t="inlineStr">
        <is>
          <t>Required</t>
        </is>
      </c>
      <c r="E8" s="27" t="inlineStr">
        <is>
          <t>CaseSpace seed</t>
        </is>
      </c>
    </row>
    <row r="9">
      <c r="A9" s="27" t="inlineStr">
        <is>
          <t>Missing Facts</t>
        </is>
      </c>
      <c r="B9" s="27" t="inlineStr">
        <is>
          <t>array</t>
        </is>
      </c>
      <c r="C9" s="27" t="inlineStr">
        <is>
          <t>Facts needed before movement</t>
        </is>
      </c>
      <c r="D9" s="27" t="inlineStr">
        <is>
          <t>Required</t>
        </is>
      </c>
      <c r="E9" s="27" t="inlineStr">
        <is>
          <t>Path Sheet</t>
        </is>
      </c>
    </row>
    <row r="10">
      <c r="A10" s="27" t="inlineStr">
        <is>
          <t>Documents Available</t>
        </is>
      </c>
      <c r="B10" s="27" t="inlineStr">
        <is>
          <t>array</t>
        </is>
      </c>
      <c r="C10" s="27" t="inlineStr">
        <is>
          <t>Documents already supplied</t>
        </is>
      </c>
      <c r="D10" s="27" t="inlineStr">
        <is>
          <t>Recommended</t>
        </is>
      </c>
      <c r="E10" s="27" t="inlineStr">
        <is>
          <t>Documents tab</t>
        </is>
      </c>
    </row>
    <row r="11">
      <c r="A11" s="27" t="inlineStr">
        <is>
          <t>Documents Needed</t>
        </is>
      </c>
      <c r="B11" s="27" t="inlineStr">
        <is>
          <t>array</t>
        </is>
      </c>
      <c r="C11" s="27" t="inlineStr">
        <is>
          <t>Needed documents</t>
        </is>
      </c>
      <c r="D11" s="27" t="inlineStr">
        <is>
          <t>Required</t>
        </is>
      </c>
      <c r="E11" s="27" t="inlineStr">
        <is>
          <t>Path Sheet</t>
        </is>
      </c>
    </row>
    <row r="12">
      <c r="A12" s="27" t="inlineStr">
        <is>
          <t>People / Parties</t>
        </is>
      </c>
      <c r="B12" s="27" t="inlineStr">
        <is>
          <t>array</t>
        </is>
      </c>
      <c r="C12" s="27" t="inlineStr">
        <is>
          <t>Owners, approvers, vendors, agencies, clients</t>
        </is>
      </c>
      <c r="D12" s="27" t="inlineStr">
        <is>
          <t>Required</t>
        </is>
      </c>
      <c r="E12" s="27" t="inlineStr">
        <is>
          <t>Bridge Score</t>
        </is>
      </c>
    </row>
    <row r="13">
      <c r="A13" s="27" t="inlineStr">
        <is>
          <t>Systems Involved</t>
        </is>
      </c>
      <c r="B13" s="27" t="inlineStr">
        <is>
          <t>number/list</t>
        </is>
      </c>
      <c r="C13" s="27" t="inlineStr">
        <is>
          <t>Drive, Gmail, calendar, portal, PMS, payroll, etc.</t>
        </is>
      </c>
      <c r="D13" s="27" t="inlineStr">
        <is>
          <t>Required</t>
        </is>
      </c>
      <c r="E13" s="27" t="inlineStr">
        <is>
          <t>Bridge Score</t>
        </is>
      </c>
    </row>
    <row r="14">
      <c r="A14" s="27" t="inlineStr">
        <is>
          <t>Manual Re-entry Points</t>
        </is>
      </c>
      <c r="B14" s="27" t="inlineStr">
        <is>
          <t>number/list</t>
        </is>
      </c>
      <c r="C14" s="27" t="inlineStr">
        <is>
          <t>Places humans copy/export/re-key</t>
        </is>
      </c>
      <c r="D14" s="27" t="inlineStr">
        <is>
          <t>Required</t>
        </is>
      </c>
      <c r="E14" s="27" t="inlineStr">
        <is>
          <t>Bridge Score</t>
        </is>
      </c>
    </row>
    <row r="15">
      <c r="A15" s="27" t="inlineStr">
        <is>
          <t>Deadline / Regulatory Risk</t>
        </is>
      </c>
      <c r="B15" s="27" t="inlineStr">
        <is>
          <t>0-3 score</t>
        </is>
      </c>
      <c r="C15" s="27" t="inlineStr">
        <is>
          <t>None/internal/deadline/legal-regulatory</t>
        </is>
      </c>
      <c r="D15" s="27" t="inlineStr">
        <is>
          <t>Required</t>
        </is>
      </c>
      <c r="E15" s="27" t="inlineStr">
        <is>
          <t>Bridge Score</t>
        </is>
      </c>
    </row>
    <row r="16">
      <c r="A16" s="27" t="inlineStr">
        <is>
          <t>Missing Proof Burden</t>
        </is>
      </c>
      <c r="B16" s="27" t="inlineStr">
        <is>
          <t>0-3 score</t>
        </is>
      </c>
      <c r="C16" s="27" t="inlineStr">
        <is>
          <t>None/minor/multiple/core proof missing</t>
        </is>
      </c>
      <c r="D16" s="27" t="inlineStr">
        <is>
          <t>Required</t>
        </is>
      </c>
      <c r="E16" s="27" t="inlineStr">
        <is>
          <t>Bridge Score</t>
        </is>
      </c>
    </row>
    <row r="17">
      <c r="A17" s="27" t="inlineStr">
        <is>
          <t>Recommended Next Step</t>
        </is>
      </c>
      <c r="B17" s="27" t="inlineStr">
        <is>
          <t>text</t>
        </is>
      </c>
      <c r="C17" s="27" t="inlineStr">
        <is>
          <t>What happens next?</t>
        </is>
      </c>
      <c r="D17" s="27" t="inlineStr">
        <is>
          <t>Required</t>
        </is>
      </c>
      <c r="E17" s="27" t="inlineStr">
        <is>
          <t>Next Steps</t>
        </is>
      </c>
    </row>
    <row r="20">
      <c r="A20" s="26" t="inlineStr">
        <is>
          <t>Component</t>
        </is>
      </c>
      <c r="B20" s="26" t="inlineStr">
        <is>
          <t>Output</t>
        </is>
      </c>
      <c r="C20" s="26" t="inlineStr">
        <is>
          <t>Fields</t>
        </is>
      </c>
      <c r="D20" s="26" t="inlineStr">
        <is>
          <t>Notes</t>
        </is>
      </c>
    </row>
    <row r="21">
      <c r="A21" s="27" t="inlineStr">
        <is>
          <t>Bridge Score</t>
        </is>
      </c>
      <c r="B21" s="27" t="inlineStr">
        <is>
          <t>=systems + manual re-entry + people/approvers + risk + missing proof</t>
        </is>
      </c>
      <c r="C21" s="27" t="inlineStr">
        <is>
          <t>Low 0-4; Medium 5-8; High 9-12; Critical 13+</t>
        </is>
      </c>
      <c r="D21" s="27" t="inlineStr">
        <is>
          <t>Formula is intentionally explainable.</t>
        </is>
      </c>
    </row>
    <row r="22">
      <c r="A22" s="27" t="inlineStr">
        <is>
          <t>MVP Output 1</t>
        </is>
      </c>
      <c r="B22" s="27" t="inlineStr">
        <is>
          <t>Printable Path Sheet</t>
        </is>
      </c>
      <c r="C22" s="27" t="inlineStr">
        <is>
          <t>Desired Outcome; Likely Lanes; Missing Facts; Needed Documents; Red Flags; Questions; Bridge Rating; Next Step</t>
        </is>
      </c>
      <c r="D22" s="27" t="inlineStr">
        <is>
          <t>Client-safe.</t>
        </is>
      </c>
    </row>
    <row r="23">
      <c r="A23" s="27" t="inlineStr">
        <is>
          <t>MVP Output 2</t>
        </is>
      </c>
      <c r="B23" s="27" t="inlineStr">
        <is>
          <t>CaseSpace seed JSON</t>
        </is>
      </c>
      <c r="C23" s="27" t="inlineStr">
        <is>
          <t>case_type, family, desired_outcome, known_facts, missing_facts, documents_needed, bridge_score, next_steps</t>
        </is>
      </c>
      <c r="D23" s="27" t="inlineStr">
        <is>
          <t>Internal seed.</t>
        </is>
      </c>
    </row>
    <row r="24">
      <c r="A24" s="27" t="inlineStr">
        <is>
          <t>MVP Output 3</t>
        </is>
      </c>
      <c r="B24" s="27" t="inlineStr">
        <is>
          <t>First Next Steps block</t>
        </is>
      </c>
      <c r="C24" s="27" t="inlineStr">
        <is>
          <t>Current Status; What changed; Need from client; PublicLogic next; Risks/decisions; Next checkpoint</t>
        </is>
      </c>
      <c r="D24" s="27" t="inlineStr">
        <is>
          <t>Start weekly rhythm.</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style="30" min="1" max="1"/>
    <col width="64" customWidth="1" style="30" min="2" max="2"/>
    <col width="44" customWidth="1" style="30" min="3" max="3"/>
    <col width="16" customWidth="1" style="30" min="4" max="4"/>
  </cols>
  <sheetData>
    <row r="1" ht="30" customHeight="1" s="30">
      <c r="A1" s="4" t="inlineStr">
        <is>
          <t>Client CaseSpace View — Five Tabs Maximum</t>
        </is>
      </c>
      <c r="B1" s="4" t="n"/>
      <c r="C1" s="4" t="n"/>
      <c r="D1" s="4" t="n"/>
      <c r="E1" s="4" t="n"/>
      <c r="F1" s="4" t="n"/>
    </row>
    <row r="2" ht="30" customHeight="1" s="30">
      <c r="A2" s="10" t="inlineStr">
        <is>
          <t>Every client-facing CaseSpace uses the same calm surface. Everything else is internal.</t>
        </is>
      </c>
      <c r="B2" s="10" t="n"/>
      <c r="C2" s="10" t="n"/>
      <c r="D2" s="10" t="n"/>
      <c r="E2" s="10" t="n"/>
      <c r="F2" s="10" t="n"/>
    </row>
    <row r="4">
      <c r="A4" s="26" t="inlineStr">
        <is>
          <t>Tab</t>
        </is>
      </c>
      <c r="B4" s="26" t="inlineStr">
        <is>
          <t>Shows</t>
        </is>
      </c>
      <c r="C4" s="26" t="inlineStr">
        <is>
          <t>Question Answered</t>
        </is>
      </c>
      <c r="D4" s="26" t="inlineStr">
        <is>
          <t>Visibility</t>
        </is>
      </c>
    </row>
    <row r="5">
      <c r="A5" s="27" t="inlineStr">
        <is>
          <t>Overview</t>
        </is>
      </c>
      <c r="B5" s="27" t="inlineStr">
        <is>
          <t>Desired outcome; current status; bridge rating; next checkpoint</t>
        </is>
      </c>
      <c r="C5" s="27" t="inlineStr">
        <is>
          <t>What are we trying to get done?</t>
        </is>
      </c>
      <c r="D5" s="27" t="inlineStr">
        <is>
          <t>Client</t>
        </is>
      </c>
    </row>
    <row r="6">
      <c r="A6" s="27" t="inlineStr">
        <is>
          <t>Intake</t>
        </is>
      </c>
      <c r="B6" s="27" t="inlineStr">
        <is>
          <t>Known facts; missing facts; people; deadlines; open questions</t>
        </is>
      </c>
      <c r="C6" s="27" t="inlineStr">
        <is>
          <t>What do we know and what is missing?</t>
        </is>
      </c>
      <c r="D6" s="27" t="inlineStr">
        <is>
          <t>Client</t>
        </is>
      </c>
    </row>
    <row r="7">
      <c r="A7" s="27" t="inlineStr">
        <is>
          <t>Documents</t>
        </is>
      </c>
      <c r="B7" s="27" t="inlineStr">
        <is>
          <t>Available docs; needed docs; record home; proof gaps</t>
        </is>
      </c>
      <c r="C7" s="27" t="inlineStr">
        <is>
          <t>Where are the documents?</t>
        </is>
      </c>
      <c r="D7" s="27" t="inlineStr">
        <is>
          <t>Client</t>
        </is>
      </c>
    </row>
    <row r="8">
      <c r="A8" s="27" t="inlineStr">
        <is>
          <t>Decisions</t>
        </is>
      </c>
      <c r="B8" s="27" t="inlineStr">
        <is>
          <t>Decision log; who decided; date; authority/reference</t>
        </is>
      </c>
      <c r="C8" s="27" t="inlineStr">
        <is>
          <t>What was decided?</t>
        </is>
      </c>
      <c r="D8" s="27" t="inlineStr">
        <is>
          <t>Client</t>
        </is>
      </c>
    </row>
    <row r="9">
      <c r="A9" s="27" t="inlineStr">
        <is>
          <t>Next Steps</t>
        </is>
      </c>
      <c r="B9" s="27" t="inlineStr">
        <is>
          <t>What we need from you; what PublicLogic is doing; risks; next checkpoint</t>
        </is>
      </c>
      <c r="C9" s="27" t="inlineStr">
        <is>
          <t>What happens next?</t>
        </is>
      </c>
      <c r="D9" s="27" t="inlineStr">
        <is>
          <t>Client</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8" customWidth="1" style="30" min="1" max="1"/>
    <col width="70" customWidth="1" style="30" min="2" max="2"/>
    <col width="34" customWidth="1" style="30" min="3" max="3"/>
    <col width="28" customWidth="1" style="30" min="4" max="4"/>
  </cols>
  <sheetData>
    <row r="1" ht="30" customHeight="1" s="30">
      <c r="A1" s="4" t="inlineStr">
        <is>
          <t>Operator Page — Movement, Not Dashboards</t>
        </is>
      </c>
      <c r="B1" s="4" t="n"/>
      <c r="C1" s="4" t="n"/>
      <c r="D1" s="4" t="n"/>
      <c r="E1" s="4" t="n"/>
      <c r="F1" s="4" t="n"/>
    </row>
    <row r="2" ht="30" customHeight="1" s="30">
      <c r="A2" s="10" t="inlineStr">
        <is>
          <t>One daily page for Nate/PublicLogic. It answers: what needs movement today?</t>
        </is>
      </c>
      <c r="B2" s="10" t="n"/>
      <c r="C2" s="10" t="n"/>
      <c r="D2" s="10" t="n"/>
      <c r="E2" s="10" t="n"/>
      <c r="F2" s="10" t="n"/>
    </row>
    <row r="4">
      <c r="A4" s="26" t="inlineStr">
        <is>
          <t>Bucket</t>
        </is>
      </c>
      <c r="B4" s="26" t="inlineStr">
        <is>
          <t>Definition</t>
        </is>
      </c>
      <c r="C4" s="26" t="inlineStr">
        <is>
          <t>Source Field</t>
        </is>
      </c>
      <c r="D4" s="26" t="inlineStr">
        <is>
          <t>Action</t>
        </is>
      </c>
    </row>
    <row r="5">
      <c r="A5" s="27" t="inlineStr">
        <is>
          <t>Today</t>
        </is>
      </c>
      <c r="B5" s="27" t="inlineStr">
        <is>
          <t>Work with an action due now or due today</t>
        </is>
      </c>
      <c r="C5" s="27" t="inlineStr">
        <is>
          <t>CaseSpace status + due date</t>
        </is>
      </c>
      <c r="D5" s="27" t="inlineStr">
        <is>
          <t>Move or defer</t>
        </is>
      </c>
    </row>
    <row r="6">
      <c r="A6" s="27" t="inlineStr">
        <is>
          <t>Waiting On Client</t>
        </is>
      </c>
      <c r="B6" s="27" t="inlineStr">
        <is>
          <t>Needs client input/document/decision</t>
        </is>
      </c>
      <c r="C6" s="27" t="inlineStr">
        <is>
          <t>waiting_on = client</t>
        </is>
      </c>
      <c r="D6" s="27" t="inlineStr">
        <is>
          <t>Send request or hold</t>
        </is>
      </c>
    </row>
    <row r="7">
      <c r="A7" s="27" t="inlineStr">
        <is>
          <t>Waiting On Third Party</t>
        </is>
      </c>
      <c r="B7" s="27" t="inlineStr">
        <is>
          <t>Agency/vendor/partner/other party is the blocker</t>
        </is>
      </c>
      <c r="C7" s="27" t="inlineStr">
        <is>
          <t>waiting_on = third_party</t>
        </is>
      </c>
      <c r="D7" s="27" t="inlineStr">
        <is>
          <t>Follow up or update risk</t>
        </is>
      </c>
    </row>
    <row r="8">
      <c r="A8" s="27" t="inlineStr">
        <is>
          <t>Needs Nate Judgment</t>
        </is>
      </c>
      <c r="B8" s="27" t="inlineStr">
        <is>
          <t>Cannot advance without Nate/PublicLogic decision</t>
        </is>
      </c>
      <c r="C8" s="27" t="inlineStr">
        <is>
          <t>judgment_required = yes</t>
        </is>
      </c>
      <c r="D8" s="27" t="inlineStr">
        <is>
          <t>Decide or schedule review</t>
        </is>
      </c>
    </row>
    <row r="9">
      <c r="A9" s="27" t="inlineStr">
        <is>
          <t>Ready to Send</t>
        </is>
      </c>
      <c r="B9" s="27" t="inlineStr">
        <is>
          <t>Draft/packet/update is ready for final review/send</t>
        </is>
      </c>
      <c r="C9" s="27" t="inlineStr">
        <is>
          <t>ready_to_send = yes</t>
        </is>
      </c>
      <c r="D9" s="27" t="inlineStr">
        <is>
          <t>Send or revise</t>
        </is>
      </c>
    </row>
    <row r="10">
      <c r="A10" s="27" t="inlineStr">
        <is>
          <t>Stuck / Risk</t>
        </is>
      </c>
      <c r="B10" s="27" t="inlineStr">
        <is>
          <t>Deadline, missing proof, conflict, or unclear ownership</t>
        </is>
      </c>
      <c r="C10" s="27" t="inlineStr">
        <is>
          <t>risk_flag = yes</t>
        </is>
      </c>
      <c r="D10" s="27" t="inlineStr">
        <is>
          <t>Escalate and document</t>
        </is>
      </c>
    </row>
    <row r="11">
      <c r="A11" s="27" t="inlineStr">
        <is>
          <t>Recently Sealed</t>
        </is>
      </c>
      <c r="B11" s="27" t="inlineStr">
        <is>
          <t>Closed cases this week</t>
        </is>
      </c>
      <c r="C11" s="27" t="inlineStr">
        <is>
          <t>seal_status = sealed</t>
        </is>
      </c>
      <c r="D11" s="27" t="inlineStr">
        <is>
          <t>Show progress and proof</t>
        </is>
      </c>
    </row>
    <row r="14">
      <c r="A14" s="26" t="inlineStr">
        <is>
          <t>Weekly Update Field</t>
        </is>
      </c>
      <c r="B14" s="26" t="inlineStr">
        <is>
          <t>Meaning</t>
        </is>
      </c>
    </row>
    <row r="15">
      <c r="A15" s="27" t="inlineStr">
        <is>
          <t>Current Status</t>
        </is>
      </c>
      <c r="B15" s="27" t="inlineStr">
        <is>
          <t>One sentence</t>
        </is>
      </c>
    </row>
    <row r="16">
      <c r="A16" s="27" t="inlineStr">
        <is>
          <t>What changed</t>
        </is>
      </c>
      <c r="B16" s="27" t="inlineStr">
        <is>
          <t>Since last checkpoint</t>
        </is>
      </c>
    </row>
    <row r="17">
      <c r="A17" s="27" t="inlineStr">
        <is>
          <t>What we need from you</t>
        </is>
      </c>
      <c r="B17" s="27" t="inlineStr">
        <is>
          <t>Specific client asks</t>
        </is>
      </c>
    </row>
    <row r="18">
      <c r="A18" s="27" t="inlineStr">
        <is>
          <t>What PublicLogic is doing next</t>
        </is>
      </c>
      <c r="B18" s="27" t="inlineStr">
        <is>
          <t>Operator commitments</t>
        </is>
      </c>
    </row>
    <row r="19">
      <c r="A19" s="27" t="inlineStr">
        <is>
          <t>Risks / decisions</t>
        </is>
      </c>
      <c r="B19" s="27" t="inlineStr">
        <is>
          <t>Risks, blockers, decisions needed</t>
        </is>
      </c>
    </row>
    <row r="20">
      <c r="A20" s="27" t="inlineStr">
        <is>
          <t>Next checkpoint</t>
        </is>
      </c>
      <c r="B20" s="27" t="inlineStr">
        <is>
          <t>Date/time or trigger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2" customWidth="1" style="30" min="1" max="1"/>
    <col width="40" customWidth="1" style="30" min="2" max="2"/>
    <col width="18" customWidth="1" style="30" min="3" max="3"/>
    <col width="16" customWidth="1" style="30" min="4" max="4"/>
    <col width="34" customWidth="1" style="30" min="5" max="5"/>
    <col width="18" customWidth="1" style="30" min="6" max="6"/>
  </cols>
  <sheetData>
    <row r="1" ht="30" customHeight="1" s="30">
      <c r="A1" s="4" t="inlineStr">
        <is>
          <t>Feature Gate — Rule of Three</t>
        </is>
      </c>
      <c r="B1" s="4" t="n"/>
      <c r="C1" s="4" t="n"/>
      <c r="D1" s="4" t="n"/>
      <c r="E1" s="4" t="n"/>
      <c r="F1" s="4" t="n"/>
      <c r="G1" s="4" t="n"/>
      <c r="H1" s="4" t="n"/>
    </row>
    <row r="2" ht="30" customHeight="1" s="30">
      <c r="A2" s="10" t="inlineStr">
        <is>
          <t>No new client-specific feature until the same need appears three times. Before that: template, note, checklist, or manual step.</t>
        </is>
      </c>
      <c r="B2" s="10" t="n"/>
      <c r="C2" s="10" t="n"/>
      <c r="D2" s="10" t="n"/>
      <c r="E2" s="10" t="n"/>
      <c r="F2" s="10" t="n"/>
      <c r="G2" s="10" t="n"/>
      <c r="H2" s="10" t="n"/>
    </row>
    <row r="4">
      <c r="A4" s="26" t="inlineStr">
        <is>
          <t>Stage</t>
        </is>
      </c>
      <c r="B4" s="26" t="inlineStr">
        <is>
          <t>Threshold</t>
        </is>
      </c>
      <c r="C4" s="26" t="inlineStr">
        <is>
          <t>Allowed Action</t>
        </is>
      </c>
      <c r="D4" s="26" t="inlineStr">
        <is>
          <t>Evidence</t>
        </is>
      </c>
    </row>
    <row r="5">
      <c r="A5" s="27" t="inlineStr">
        <is>
          <t>Observation</t>
        </is>
      </c>
      <c r="B5" s="27" t="inlineStr">
        <is>
          <t>1x</t>
        </is>
      </c>
      <c r="C5" s="27" t="inlineStr">
        <is>
          <t>Log in backlog. Do not build.</t>
        </is>
      </c>
      <c r="D5" s="27" t="inlineStr">
        <is>
          <t>Client ask / operator pain</t>
        </is>
      </c>
    </row>
    <row r="6">
      <c r="A6" s="27" t="inlineStr">
        <is>
          <t>Pattern Candidate</t>
        </is>
      </c>
      <c r="B6" s="27" t="inlineStr">
        <is>
          <t>2x</t>
        </is>
      </c>
      <c r="C6" s="27" t="inlineStr">
        <is>
          <t>Create checklist/template note. Do not build runtime feature.</t>
        </is>
      </c>
      <c r="D6" s="27" t="inlineStr">
        <is>
          <t>Similar ask appears again</t>
        </is>
      </c>
    </row>
    <row r="7">
      <c r="A7" s="27" t="inlineStr">
        <is>
          <t>Template</t>
        </is>
      </c>
      <c r="B7" s="27" t="inlineStr">
        <is>
          <t>3x</t>
        </is>
      </c>
      <c r="C7" s="27" t="inlineStr">
        <is>
          <t>Promote to template/work pack if it fits CaseSpace loop.</t>
        </is>
      </c>
      <c r="D7" s="27" t="inlineStr">
        <is>
          <t>Same need appears third time</t>
        </is>
      </c>
    </row>
    <row r="8">
      <c r="A8" s="27" t="inlineStr">
        <is>
          <t>Product Surface</t>
        </is>
      </c>
      <c r="B8" s="27" t="inlineStr">
        <is>
          <t>After template proves usage</t>
        </is>
      </c>
      <c r="C8" s="27" t="inlineStr">
        <is>
          <t>Build UI/launcher/dashboard only after pattern is stable.</t>
        </is>
      </c>
      <c r="D8" s="27" t="inlineStr">
        <is>
          <t>Template has repeat use and proof</t>
        </is>
      </c>
    </row>
    <row r="11">
      <c r="A11" s="26" t="inlineStr">
        <is>
          <t>ID</t>
        </is>
      </c>
      <c r="B11" s="26" t="inlineStr">
        <is>
          <t>Need</t>
        </is>
      </c>
      <c r="C11" s="26" t="inlineStr">
        <is>
          <t>Family</t>
        </is>
      </c>
      <c r="D11" s="26" t="inlineStr">
        <is>
          <t>Seen Count</t>
        </is>
      </c>
      <c r="E11" s="26" t="inlineStr">
        <is>
          <t>Current Treatment</t>
        </is>
      </c>
      <c r="F11" s="26" t="inlineStr">
        <is>
          <t>Status</t>
        </is>
      </c>
    </row>
    <row r="12">
      <c r="A12" s="27" t="inlineStr">
        <is>
          <t>O-001</t>
        </is>
      </c>
      <c r="B12" s="27" t="inlineStr">
        <is>
          <t>Permit lane confusion</t>
        </is>
      </c>
      <c r="C12" s="27" t="inlineStr">
        <is>
          <t>Permit &amp; Bridge</t>
        </is>
      </c>
      <c r="D12" s="27" t="inlineStr">
        <is>
          <t>1</t>
        </is>
      </c>
      <c r="E12" s="27" t="inlineStr">
        <is>
          <t>Template note</t>
        </is>
      </c>
      <c r="F12" s="27" t="inlineStr">
        <is>
          <t>Open</t>
        </is>
      </c>
    </row>
    <row r="13">
      <c r="A13" s="27" t="inlineStr">
        <is>
          <t>O-002</t>
        </is>
      </c>
      <c r="B13" s="27" t="inlineStr">
        <is>
          <t>Weekly update rewrite burden</t>
        </is>
      </c>
      <c r="C13" s="27" t="inlineStr">
        <is>
          <t>All</t>
        </is>
      </c>
      <c r="D13" s="27" t="inlineStr">
        <is>
          <t>2</t>
        </is>
      </c>
      <c r="E13" s="27" t="inlineStr">
        <is>
          <t>Checklist/view spec</t>
        </is>
      </c>
      <c r="F13" s="27" t="inlineStr">
        <is>
          <t>Open</t>
        </is>
      </c>
    </row>
    <row r="14">
      <c r="A14" s="27" t="inlineStr">
        <is>
          <t>O-003</t>
        </is>
      </c>
      <c r="B14" s="27" t="inlineStr">
        <is>
          <t>Timesheet approval bridge</t>
        </is>
      </c>
      <c r="C14" s="27" t="inlineStr">
        <is>
          <t>PEOPLE</t>
        </is>
      </c>
      <c r="D14" s="27" t="inlineStr">
        <is>
          <t>1</t>
        </is>
      </c>
      <c r="E14" s="27" t="inlineStr">
        <is>
          <t>Work pack seed</t>
        </is>
      </c>
      <c r="F14" s="27" t="inlineStr">
        <is>
          <t>Open</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8" customWidth="1" style="30" min="1" max="1"/>
    <col width="42" customWidth="1" style="30" min="2" max="2"/>
    <col width="58" customWidth="1" style="30" min="3" max="3"/>
    <col width="50" customWidth="1" style="30" min="4" max="4"/>
    <col width="38" customWidth="1" style="30" min="5" max="5"/>
  </cols>
  <sheetData>
    <row r="1" ht="50.40000152587891" customHeight="1" s="30">
      <c r="A1" s="51" t="inlineStr">
        <is>
          <t>Competitive Positioning — Primitive + Doctrine, Not Vocabulary</t>
        </is>
      </c>
      <c r="B1" s="1" t="n"/>
      <c r="C1" s="1" t="n"/>
      <c r="D1" s="1" t="n"/>
      <c r="E1" s="1" t="n"/>
      <c r="F1" s="4" t="n"/>
      <c r="G1" s="4" t="n"/>
      <c r="H1" s="4" t="n"/>
    </row>
    <row r="2" ht="84" customHeight="1" s="30">
      <c r="A2" s="52" t="inlineStr">
        <is>
          <t>Final mid-2026 pressure-test: do not win on 'proof/audit trail/institutional memory' words. Win on standing/closing CaseSpaces, seal-upward architecture, non-replacement discipline, and stewardship.</t>
        </is>
      </c>
      <c r="B2" s="1" t="n"/>
      <c r="C2" s="1" t="n"/>
      <c r="D2" s="1" t="n"/>
      <c r="E2" s="1" t="n"/>
      <c r="F2" s="10" t="n"/>
      <c r="G2" s="10" t="n"/>
      <c r="H2" s="10" t="n"/>
    </row>
    <row r="3" ht="15" customHeight="1" s="30"/>
    <row r="4" ht="15" customHeight="1" s="30">
      <c r="A4" s="38" t="inlineStr">
        <is>
          <t>Section</t>
        </is>
      </c>
      <c r="B4" s="38" t="inlineStr">
        <is>
          <t>Position</t>
        </is>
      </c>
      <c r="C4" s="38" t="inlineStr">
        <is>
          <t>Why it matters</t>
        </is>
      </c>
      <c r="D4" s="38" t="inlineStr">
        <is>
          <t>Action</t>
        </is>
      </c>
      <c r="E4" s="43" t="inlineStr">
        <is>
          <t>Source / Guardrail</t>
        </is>
      </c>
    </row>
    <row r="5" ht="26.39999961853027" customHeight="1" s="30">
      <c r="A5" s="27" t="inlineStr">
        <is>
          <t>Category We Own</t>
        </is>
      </c>
      <c r="B5" s="27" t="inlineStr">
        <is>
          <t>Governed work library + CaseSpace runtime</t>
        </is>
      </c>
      <c r="C5" s="27" t="inlineStr">
        <is>
          <t>Ready-to-run templates for rule-bound operational work, backed by stewardship.</t>
        </is>
      </c>
      <c r="D5" s="27" t="inlineStr">
        <is>
          <t>Use</t>
        </is>
      </c>
      <c r="E5" s="27" t="inlineStr">
        <is>
          <t>Do not call it AI OS, front door, CRM, legal automation, PMS, or grant management software.</t>
        </is>
      </c>
    </row>
    <row r="6" ht="26.39999961853027" customHeight="1" s="30">
      <c r="A6" s="27" t="inlineStr">
        <is>
          <t>Plain English</t>
        </is>
      </c>
      <c r="B6" s="27" t="inlineStr">
        <is>
          <t>Complicated work → standing/closing CaseSpace → next steps → seal upward</t>
        </is>
      </c>
      <c r="C6" s="27" t="inlineStr">
        <is>
          <t>This shows structure, not just logging.</t>
        </is>
      </c>
      <c r="D6" s="27" t="inlineStr">
        <is>
          <t>Use</t>
        </is>
      </c>
      <c r="E6" s="27" t="inlineStr">
        <is>
          <t>Define CaseSpace every time.</t>
        </is>
      </c>
    </row>
    <row r="7" ht="26.39999961853027" customHeight="1" s="30">
      <c r="A7" s="27" t="inlineStr">
        <is>
          <t>Hero Claim</t>
        </is>
      </c>
      <c r="B7" s="27" t="inlineStr">
        <is>
          <t>Closing work seals upward into standing work across systems</t>
        </is>
      </c>
      <c r="C7" s="27" t="inlineStr">
        <is>
          <t>Harder to copy than 'audit trail' language.</t>
        </is>
      </c>
      <c r="D7" s="27" t="inlineStr">
        <is>
          <t>Lead</t>
        </is>
      </c>
      <c r="E7" s="27" t="inlineStr">
        <is>
          <t>Primitive + doctrine + stewardship.</t>
        </is>
      </c>
    </row>
    <row r="8" ht="15" customHeight="1" s="30">
      <c r="A8" s="27" t="inlineStr">
        <is>
          <t>Non-Replacement Claim</t>
        </is>
      </c>
      <c r="B8" s="27" t="inlineStr">
        <is>
          <t>We do not want to be your system of record</t>
        </is>
      </c>
      <c r="C8" s="27" t="inlineStr">
        <is>
          <t>Separates PJ from Polimorphic/GovWell/Tyler/OpenGov/Granicus.</t>
        </is>
      </c>
      <c r="D8" s="27" t="inlineStr">
        <is>
          <t>Lead</t>
        </is>
      </c>
      <c r="E8" s="27" t="inlineStr">
        <is>
          <t>External systems remain signal/surface sources.</t>
        </is>
      </c>
    </row>
    <row r="9" ht="15" customHeight="1" s="30">
      <c r="A9" s="27" t="inlineStr">
        <is>
          <t>Stewardship Claim</t>
        </is>
      </c>
      <c r="B9" s="27" t="inlineStr">
        <is>
          <t>Human-supported library upkeep</t>
        </is>
      </c>
      <c r="C9" s="27" t="inlineStr">
        <is>
          <t>Software-only incumbents can copy logs; they resist local messy stewardship.</t>
        </is>
      </c>
      <c r="D9" s="27" t="inlineStr">
        <is>
          <t>Lead</t>
        </is>
      </c>
      <c r="E9" s="27" t="inlineStr">
        <is>
          <t>Name and price this tier.</t>
        </is>
      </c>
    </row>
    <row r="10" ht="52.79999923706055" customHeight="1" s="30">
      <c r="A10" s="27" t="inlineStr">
        <is>
          <t>Avoid List</t>
        </is>
      </c>
      <c r="B10" s="27" t="inlineStr">
        <is>
          <t>AI operating system; front door; inbound services; municipal CRM; case management from intake to resolution; legal advice engine; PMS; grant management software</t>
        </is>
      </c>
      <c r="C10" s="27" t="inlineStr">
        <is>
          <t>These drag PublicLogic into someone else's category.</t>
        </is>
      </c>
      <c r="D10" s="27" t="inlineStr">
        <is>
          <t>Avoid</t>
        </is>
      </c>
      <c r="E10" s="27" t="inlineStr">
        <is>
          <t>Use only to explain what PJ is not.</t>
        </is>
      </c>
    </row>
    <row r="11" ht="15" customHeight="1" s="30">
      <c r="A11" s="26" t="n"/>
      <c r="B11" s="26" t="n"/>
      <c r="C11" s="26" t="n"/>
      <c r="D11" s="26" t="n"/>
      <c r="E11" s="27" t="n"/>
    </row>
    <row r="12" ht="15" customHeight="1" s="30">
      <c r="A12" s="27" t="inlineStr">
        <is>
          <t>Competitor Type</t>
        </is>
      </c>
      <c r="B12" s="27" t="inlineStr">
        <is>
          <t>They sell</t>
        </is>
      </c>
      <c r="C12" s="27" t="inlineStr">
        <is>
          <t>PublicLogic sells</t>
        </is>
      </c>
      <c r="D12" s="27" t="inlineStr">
        <is>
          <t>Threat / Guardrail</t>
        </is>
      </c>
      <c r="E12" s="27" t="inlineStr">
        <is>
          <t>Rating</t>
        </is>
      </c>
    </row>
    <row r="13" ht="39.59999847412109" customHeight="1" s="30">
      <c r="A13" s="46" t="inlineStr">
        <is>
          <t>Polimorphic</t>
        </is>
      </c>
      <c r="B13" s="46" t="inlineStr">
        <is>
          <t>AI front desk, resident service delivery, CRM, case management, institutional knowledge/audit-trail narrative</t>
        </is>
      </c>
      <c r="C13" s="46" t="inlineStr">
        <is>
          <t>Governed work templates, CaseSpace nesting, seal-upward proof, readiness, stewardship</t>
        </is>
      </c>
      <c r="D13" s="46" t="inlineStr">
        <is>
          <t>High narrative threat; partner-or-competitor. Do not pitch inbound/resident front door.</t>
        </is>
      </c>
      <c r="E13" s="46" t="inlineStr">
        <is>
          <t>High</t>
        </is>
      </c>
    </row>
    <row r="14" ht="39.59999847412109" customHeight="1" s="30">
      <c r="A14" s="27" t="inlineStr">
        <is>
          <t>GovWell</t>
        </is>
      </c>
      <c r="B14" s="27" t="inlineStr">
        <is>
          <t>AI operating system for modern government, permitting/licensing/community development system of record</t>
        </is>
      </c>
      <c r="C14" s="27" t="inlineStr">
        <is>
          <t>Permit &amp; Bridge readiness before/beside/after formal systems; broader governed work library</t>
        </is>
      </c>
      <c r="D14" s="27" t="inlineStr">
        <is>
          <t>High municipal budget threat. Do not pitch as permitting OS.</t>
        </is>
      </c>
      <c r="E14" s="27" t="inlineStr">
        <is>
          <t>High</t>
        </is>
      </c>
    </row>
    <row r="15" ht="39.59999847412109" customHeight="1" s="30">
      <c r="A15" s="27" t="inlineStr">
        <is>
          <t>Granicus / OpenGov / Tyler</t>
        </is>
      </c>
      <c r="B15" s="27" t="inlineStr">
        <is>
          <t>Government systems of record, digital services, AI agents, records, ERP/permitting/courts/budget platforms</t>
        </is>
      </c>
      <c r="C15" s="27" t="inlineStr">
        <is>
          <t>Pre-system and cross-system work organization, evidence, handoff, portable continuity</t>
        </is>
      </c>
      <c r="D15" s="27" t="inlineStr">
        <is>
          <t>Low now, Medium-rising. Watch cross-system records rollup / institutional-memory features.</t>
        </is>
      </c>
      <c r="E15" s="27" t="inlineStr">
        <is>
          <t>Low→Medium</t>
        </is>
      </c>
    </row>
    <row r="16" ht="26.39999961853027" customHeight="1" s="30">
      <c r="A16" s="27" t="inlineStr">
        <is>
          <t>Tonkean / Coupa</t>
        </is>
      </c>
      <c r="B16" s="27" t="inlineStr">
        <is>
          <t>Enterprise procurement/legal/IT intake and process orchestration</t>
        </is>
      </c>
      <c r="C16" s="27" t="inlineStr">
        <is>
          <t>Smaller, civic/project/property/grant CaseSpaces plus stewardship</t>
        </is>
      </c>
      <c r="D16" s="27" t="inlineStr">
        <is>
          <t>High conceptual cousin, low buyer collision after Coupa acquisition.</t>
        </is>
      </c>
      <c r="E16" s="27" t="inlineStr">
        <is>
          <t>Strategic watch</t>
        </is>
      </c>
    </row>
    <row r="17" ht="26.39999961853027" customHeight="1" s="30">
      <c r="A17" s="27" t="inlineStr">
        <is>
          <t>BRYTER / Checkbox</t>
        </is>
      </c>
      <c r="B17" s="27" t="inlineStr">
        <is>
          <t>Legal/compliance front door, intake, matter/workflow automation, auditable activity</t>
        </is>
      </c>
      <c r="C17" s="27" t="inlineStr">
        <is>
          <t>Counsel-ready operational readiness and proof without legal determinations</t>
        </is>
      </c>
      <c r="D17" s="27" t="inlineStr">
        <is>
          <t>Medium linguistic threat; avoid legal automation/matter management claims.</t>
        </is>
      </c>
      <c r="E17" s="27" t="inlineStr">
        <is>
          <t>Medium</t>
        </is>
      </c>
    </row>
    <row r="18" ht="26.39999961853027" customHeight="1" s="30">
      <c r="A18" s="27" t="inlineStr">
        <is>
          <t>Airtable / Kissflow / Knack / SmartSuite</t>
        </is>
      </c>
      <c r="B18" s="27" t="inlineStr">
        <is>
          <t>Generic no-code workflow platforms with AI/governance language</t>
        </is>
      </c>
      <c r="C18" s="27" t="inlineStr">
        <is>
          <t>Opinionated governed work packs with predefined primitive, gates, proof, stewardship</t>
        </is>
      </c>
      <c r="D18" s="27" t="inlineStr">
        <is>
          <t>Medium DIY substitute; answer with doctrine + maintained library.</t>
        </is>
      </c>
      <c r="E18" s="27" t="inlineStr">
        <is>
          <t>Medium</t>
        </is>
      </c>
    </row>
    <row r="19" ht="26.39999961853027" customHeight="1" s="30">
      <c r="A19" s="27" t="inlineStr">
        <is>
          <t>Guesty / Hostaway / Hospitable / OwnerRez</t>
        </is>
      </c>
      <c r="B19" s="27" t="inlineStr">
        <is>
          <t>STR PMS/channel management/guest messaging/revenue ops</t>
        </is>
      </c>
      <c r="C19" s="27" t="inlineStr">
        <is>
          <t>STAY property memory, exception handling, maintenance proof, vendor continuity, owner record</t>
        </is>
      </c>
      <c r="D19" s="27" t="inlineStr">
        <is>
          <t>Low direct threat; STAY is white space but smaller revenue lane.</t>
        </is>
      </c>
      <c r="E19" s="27" t="inlineStr">
        <is>
          <t>Low</t>
        </is>
      </c>
    </row>
  </sheetData>
  <mergeCells count="2">
    <mergeCell ref="A2:E2"/>
    <mergeCell ref="A1:E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0" customWidth="1" style="30" min="1" max="1"/>
    <col width="28" customWidth="1" style="30" min="2" max="2"/>
    <col width="42" customWidth="1" style="30" min="3" max="3"/>
    <col width="30" customWidth="1" style="30" min="4" max="4"/>
    <col width="10" customWidth="1" style="30" min="5" max="5"/>
    <col width="10" customWidth="1" style="30" min="6" max="6"/>
    <col width="12" customWidth="1" style="30" min="7" max="7"/>
    <col width="36" customWidth="1" style="30" min="8" max="8"/>
    <col width="44" customWidth="1" style="30" min="9" max="9"/>
  </cols>
  <sheetData>
    <row r="1" ht="100.8000030517578" customHeight="1" s="30">
      <c r="A1" s="51" t="inlineStr">
        <is>
          <t>Build Order — Prove the Moat, Not the Universe</t>
        </is>
      </c>
      <c r="B1" s="1" t="n"/>
      <c r="C1" s="1" t="n"/>
      <c r="D1" s="1" t="n"/>
      <c r="E1" s="1" t="n"/>
      <c r="F1" s="1" t="n"/>
      <c r="G1" s="1" t="n"/>
      <c r="H1" s="1" t="n"/>
      <c r="I1" s="1" t="n"/>
    </row>
    <row r="2" ht="168" customHeight="1" s="30">
      <c r="A2" s="52" t="inlineStr">
        <is>
          <t>The first clickable loop must prove: Path Sheet Entry → CaseSpace seed → standing/closing child → next steps → seal upward into parent → stewardship note.</t>
        </is>
      </c>
      <c r="B2" s="1" t="n"/>
      <c r="C2" s="1" t="n"/>
      <c r="D2" s="1" t="n"/>
      <c r="E2" s="1" t="n"/>
      <c r="F2" s="1" t="n"/>
      <c r="G2" s="1" t="n"/>
      <c r="H2" s="1" t="n"/>
      <c r="I2" s="1" t="n"/>
    </row>
    <row r="3" ht="15" customHeight="1" s="30"/>
    <row r="4" ht="15" customHeight="1" s="30">
      <c r="A4" s="38" t="inlineStr">
        <is>
          <t>ID</t>
        </is>
      </c>
      <c r="B4" s="38" t="inlineStr">
        <is>
          <t>Build Item</t>
        </is>
      </c>
      <c r="C4" s="38" t="inlineStr">
        <is>
          <t>Why</t>
        </is>
      </c>
      <c r="D4" s="38" t="inlineStr">
        <is>
          <t>Depends On</t>
        </is>
      </c>
      <c r="E4" s="38" t="inlineStr">
        <is>
          <t>Score</t>
        </is>
      </c>
      <c r="F4" s="38" t="inlineStr">
        <is>
          <t>Priority</t>
        </is>
      </c>
      <c r="G4" s="38" t="inlineStr">
        <is>
          <t>Status</t>
        </is>
      </c>
      <c r="H4" s="38" t="inlineStr">
        <is>
          <t>First Demo</t>
        </is>
      </c>
      <c r="I4" s="38" t="inlineStr">
        <is>
          <t>Notes</t>
        </is>
      </c>
    </row>
    <row r="5" ht="15" customHeight="1" s="30">
      <c r="A5" s="27" t="inlineStr">
        <is>
          <t>B-001</t>
        </is>
      </c>
      <c r="B5" s="27" t="inlineStr">
        <is>
          <t>Path Sheet Entry Generator</t>
        </is>
      </c>
      <c r="C5" s="27" t="inlineStr">
        <is>
          <t>First clickable proof of PJ Lite and all doors</t>
        </is>
      </c>
      <c r="D5" s="27" t="inlineStr">
        <is>
          <t>11_Path_Generator</t>
        </is>
      </c>
      <c r="E5" s="27" t="n">
        <v>100</v>
      </c>
      <c r="F5" s="27" t="inlineStr">
        <is>
          <t>P0</t>
        </is>
      </c>
      <c r="G5" s="27" t="inlineStr">
        <is>
          <t>Next</t>
        </is>
      </c>
      <c r="H5" s="27" t="inlineStr">
        <is>
          <t>Path Sheet + bridge rating + seed JSON</t>
        </is>
      </c>
      <c r="I5" s="27" t="inlineStr">
        <is>
          <t>Replaces manual triage; do not call it front door</t>
        </is>
      </c>
    </row>
    <row r="6" ht="15" customHeight="1" s="30">
      <c r="A6" s="27" t="inlineStr">
        <is>
          <t>B-002</t>
        </is>
      </c>
      <c r="B6" s="27" t="inlineStr">
        <is>
          <t>Series 1 Door Seeder</t>
        </is>
      </c>
      <c r="C6" s="27" t="inlineStr">
        <is>
          <t>Creates CaseSpace seed JSON from selected template</t>
        </is>
      </c>
      <c r="D6" s="27" t="inlineStr">
        <is>
          <t>05_Series1_Templates</t>
        </is>
      </c>
      <c r="E6" s="27" t="n">
        <v>96</v>
      </c>
      <c r="F6" s="27" t="inlineStr">
        <is>
          <t>P0</t>
        </is>
      </c>
      <c r="G6" s="27" t="inlineStr">
        <is>
          <t>Next</t>
        </is>
      </c>
      <c r="H6" s="27" t="inlineStr">
        <is>
          <t>Door → CaseSpace JSON</t>
        </is>
      </c>
      <c r="I6" s="27" t="inlineStr">
        <is>
          <t>All doors same system</t>
        </is>
      </c>
    </row>
    <row r="7" ht="15" customHeight="1" s="30">
      <c r="A7" s="27" t="inlineStr">
        <is>
          <t>B-003</t>
        </is>
      </c>
      <c r="B7" s="27" t="inlineStr">
        <is>
          <t>Standing/Closing CaseSpace Demo</t>
        </is>
      </c>
      <c r="C7" s="27" t="inlineStr">
        <is>
          <t>Shows closing work inside standing parent</t>
        </is>
      </c>
      <c r="D7" s="27" t="inlineStr">
        <is>
          <t>04_CaseSpace_Schema</t>
        </is>
      </c>
      <c r="E7" s="27" t="n">
        <v>95</v>
      </c>
      <c r="F7" s="27" t="inlineStr">
        <is>
          <t>P0</t>
        </is>
      </c>
      <c r="G7" s="27" t="inlineStr">
        <is>
          <t>Next</t>
        </is>
      </c>
      <c r="H7" s="27" t="inlineStr">
        <is>
          <t>Property/Project parent with one closing child</t>
        </is>
      </c>
      <c r="I7" s="27" t="inlineStr">
        <is>
          <t>This is the moat demo</t>
        </is>
      </c>
    </row>
    <row r="8" ht="26.39999961853027" customHeight="1" s="30">
      <c r="A8" s="27" t="inlineStr">
        <is>
          <t>B-004</t>
        </is>
      </c>
      <c r="B8" s="27" t="inlineStr">
        <is>
          <t>Seal-Upward Closeout</t>
        </is>
      </c>
      <c r="C8" s="27" t="inlineStr">
        <is>
          <t>Proves child closeout and parent rollup reference</t>
        </is>
      </c>
      <c r="D8" s="27" t="inlineStr">
        <is>
          <t>04_CaseSpace_Schema</t>
        </is>
      </c>
      <c r="E8" s="27" t="n">
        <v>94</v>
      </c>
      <c r="F8" s="27" t="inlineStr">
        <is>
          <t>P0</t>
        </is>
      </c>
      <c r="G8" s="27" t="inlineStr">
        <is>
          <t>Next</t>
        </is>
      </c>
      <c r="H8" s="27" t="inlineStr">
        <is>
          <t>Close child → sealed proof package → parent reference</t>
        </is>
      </c>
      <c r="I8" s="27" t="inlineStr">
        <is>
          <t>Not just audit log</t>
        </is>
      </c>
    </row>
    <row r="9" ht="15" customHeight="1" s="30">
      <c r="A9" s="27" t="inlineStr">
        <is>
          <t>B-005</t>
        </is>
      </c>
      <c r="B9" s="27" t="inlineStr">
        <is>
          <t>Operator Movement Board</t>
        </is>
      </c>
      <c r="C9" s="27" t="inlineStr">
        <is>
          <t>Stops Nate being the router</t>
        </is>
      </c>
      <c r="D9" s="27" t="inlineStr">
        <is>
          <t>13_Operator_Page + 07_Dashboards</t>
        </is>
      </c>
      <c r="E9" s="27" t="n">
        <v>90</v>
      </c>
      <c r="F9" s="27" t="inlineStr">
        <is>
          <t>P0</t>
        </is>
      </c>
      <c r="G9" s="27" t="inlineStr">
        <is>
          <t>Next</t>
        </is>
      </c>
      <c r="H9" s="27" t="inlineStr">
        <is>
          <t>Today/Waiting/Judgment board</t>
        </is>
      </c>
      <c r="I9" s="27" t="inlineStr">
        <is>
          <t>Internal first</t>
        </is>
      </c>
    </row>
    <row r="10" ht="15" customHeight="1" s="30">
      <c r="A10" s="27" t="inlineStr">
        <is>
          <t>B-006</t>
        </is>
      </c>
      <c r="B10" s="27" t="inlineStr">
        <is>
          <t>Weekly Next Steps View</t>
        </is>
      </c>
      <c r="C10" s="27" t="inlineStr">
        <is>
          <t>Client calm and repeated update format</t>
        </is>
      </c>
      <c r="D10" s="27" t="inlineStr">
        <is>
          <t>12_Client_CaseSpace_View</t>
        </is>
      </c>
      <c r="E10" s="27" t="n">
        <v>88</v>
      </c>
      <c r="F10" s="27" t="inlineStr">
        <is>
          <t>P1</t>
        </is>
      </c>
      <c r="G10" s="27" t="inlineStr">
        <is>
          <t>Next</t>
        </is>
      </c>
      <c r="H10" s="27" t="inlineStr">
        <is>
          <t>six-field update</t>
        </is>
      </c>
      <c r="I10" s="27" t="inlineStr">
        <is>
          <t>Replaces manual client status prose</t>
        </is>
      </c>
    </row>
    <row r="11" ht="15" customHeight="1" s="30">
      <c r="A11" s="27" t="inlineStr">
        <is>
          <t>B-007</t>
        </is>
      </c>
      <c r="B11" s="27" t="inlineStr">
        <is>
          <t>Permit &amp; Bridge Lane Picker</t>
        </is>
      </c>
      <c r="C11" s="27" t="inlineStr">
        <is>
          <t>Best municipal/client bridge wedge</t>
        </is>
      </c>
      <c r="D11" s="27" t="inlineStr">
        <is>
          <t>08_Permit_Bridge_Lanes</t>
        </is>
      </c>
      <c r="E11" s="27" t="n">
        <v>86</v>
      </c>
      <c r="F11" s="27" t="inlineStr">
        <is>
          <t>P1</t>
        </is>
      </c>
      <c r="G11" s="27" t="inlineStr">
        <is>
          <t>Next</t>
        </is>
      </c>
      <c r="H11" s="27" t="inlineStr">
        <is>
          <t>Applicant/site Path Sheet</t>
        </is>
      </c>
      <c r="I11" s="27" t="inlineStr">
        <is>
          <t>Do not call it permitting software</t>
        </is>
      </c>
    </row>
    <row r="12" ht="15" customHeight="1" s="30">
      <c r="A12" s="27" t="inlineStr">
        <is>
          <t>B-008</t>
        </is>
      </c>
      <c r="B12" s="27" t="inlineStr">
        <is>
          <t>Grant Readiness CaseSpace</t>
        </is>
      </c>
      <c r="C12" s="27" t="inlineStr">
        <is>
          <t>Strong cross-domain revenue/proof lane</t>
        </is>
      </c>
      <c r="D12" s="27" t="inlineStr">
        <is>
          <t>05_Series1_Templates</t>
        </is>
      </c>
      <c r="E12" s="27" t="n">
        <v>84</v>
      </c>
      <c r="F12" s="27" t="inlineStr">
        <is>
          <t>P1</t>
        </is>
      </c>
      <c r="G12" s="27" t="inlineStr">
        <is>
          <t>Next</t>
        </is>
      </c>
      <c r="H12" s="27" t="inlineStr">
        <is>
          <t>Opportunity parent + submission child</t>
        </is>
      </c>
      <c r="I12" s="27" t="inlineStr">
        <is>
          <t>Grant readiness before grant management</t>
        </is>
      </c>
    </row>
    <row r="13" ht="15" customHeight="1" s="30">
      <c r="A13" s="27" t="inlineStr">
        <is>
          <t>B-009</t>
        </is>
      </c>
      <c r="B13" s="27" t="inlineStr">
        <is>
          <t>STAY Property Memory CaseSpace</t>
        </is>
      </c>
      <c r="C13" s="27" t="inlineStr">
        <is>
          <t>Dogfooding through Kendall Pond</t>
        </is>
      </c>
      <c r="D13" s="27" t="inlineStr">
        <is>
          <t>05_Series1_Templates</t>
        </is>
      </c>
      <c r="E13" s="27" t="n">
        <v>82</v>
      </c>
      <c r="F13" s="27" t="inlineStr">
        <is>
          <t>P1</t>
        </is>
      </c>
      <c r="G13" s="27" t="inlineStr">
        <is>
          <t>Next</t>
        </is>
      </c>
      <c r="H13" s="27" t="inlineStr">
        <is>
          <t>Property parent + maintenance/turnover child</t>
        </is>
      </c>
      <c r="I13" s="27" t="inlineStr">
        <is>
          <t>Guesty runs bookings; PJ remembers property</t>
        </is>
      </c>
    </row>
    <row r="14" ht="15" customHeight="1" s="30">
      <c r="A14" s="27" t="inlineStr">
        <is>
          <t>B-010</t>
        </is>
      </c>
      <c r="B14" s="27" t="inlineStr">
        <is>
          <t>Stewardship Tier Pack</t>
        </is>
      </c>
      <c r="C14" s="27" t="inlineStr">
        <is>
          <t>Makes human stewardship visible and priced</t>
        </is>
      </c>
      <c r="D14" s="27" t="inlineStr">
        <is>
          <t>21_Partner_Protocol</t>
        </is>
      </c>
      <c r="E14" s="27" t="n">
        <v>80</v>
      </c>
      <c r="F14" s="27" t="inlineStr">
        <is>
          <t>P1</t>
        </is>
      </c>
      <c r="G14" s="27" t="inlineStr">
        <is>
          <t>Next</t>
        </is>
      </c>
      <c r="H14" s="27" t="inlineStr">
        <is>
          <t>Stewardship scope + update cadence</t>
        </is>
      </c>
      <c r="I14" s="27" t="inlineStr">
        <is>
          <t>Moat against software-only competitors</t>
        </is>
      </c>
    </row>
    <row r="15" ht="26.39999961853027" customHeight="1" s="30">
      <c r="A15" s="27" t="inlineStr">
        <is>
          <t>B-011</t>
        </is>
      </c>
      <c r="B15" s="27" t="inlineStr">
        <is>
          <t>Work Pack Installer</t>
        </is>
      </c>
      <c r="C15" s="27" t="inlineStr">
        <is>
          <t>Installs parent + child templates + dashboard + proof rules</t>
        </is>
      </c>
      <c r="D15" s="27" t="inlineStr">
        <is>
          <t>06_Work_Packs</t>
        </is>
      </c>
      <c r="E15" s="27" t="n">
        <v>78</v>
      </c>
      <c r="F15" s="27" t="inlineStr">
        <is>
          <t>P2</t>
        </is>
      </c>
      <c r="G15" s="27" t="inlineStr">
        <is>
          <t>Later</t>
        </is>
      </c>
      <c r="H15" s="27" t="inlineStr">
        <is>
          <t>one installed work pack</t>
        </is>
      </c>
      <c r="I15" s="27" t="inlineStr">
        <is>
          <t>Template-driven</t>
        </is>
      </c>
    </row>
  </sheetData>
  <mergeCells count="2">
    <mergeCell ref="A1:I1"/>
    <mergeCell ref="A2:I2"/>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style="30" min="1" max="1"/>
    <col width="34" customWidth="1" style="30" min="2" max="2"/>
    <col width="68" customWidth="1" style="30" min="3" max="3"/>
    <col width="18" customWidth="1" style="30" min="4" max="4"/>
    <col width="12" customWidth="1" style="30" min="5" max="5"/>
    <col width="14" customWidth="1" style="30" min="6" max="6"/>
    <col width="24" customWidth="1" style="30" min="7" max="7"/>
  </cols>
  <sheetData>
    <row r="1" ht="30" customHeight="1" s="30">
      <c r="A1" s="4" t="inlineStr">
        <is>
          <t>Backlog — Pattern and Build Queue</t>
        </is>
      </c>
      <c r="B1" s="4" t="n"/>
      <c r="C1" s="4" t="n"/>
      <c r="D1" s="4" t="n"/>
      <c r="E1" s="4" t="n"/>
      <c r="F1" s="4" t="n"/>
      <c r="G1" s="4" t="n"/>
    </row>
    <row r="2" ht="30" customHeight="1" s="30">
      <c r="A2" s="10" t="inlineStr">
        <is>
          <t>Backlog items are pattern-managed. Custom asks do not become features until the need repeats three times.</t>
        </is>
      </c>
      <c r="B2" s="10" t="n"/>
      <c r="C2" s="10" t="n"/>
      <c r="D2" s="10" t="n"/>
      <c r="E2" s="10" t="n"/>
      <c r="F2" s="10" t="n"/>
      <c r="G2" s="10" t="n"/>
    </row>
    <row r="4">
      <c r="A4" s="26" t="inlineStr">
        <is>
          <t>ID</t>
        </is>
      </c>
      <c r="B4" s="26" t="inlineStr">
        <is>
          <t>Item</t>
        </is>
      </c>
      <c r="C4" s="26" t="inlineStr">
        <is>
          <t>Description</t>
        </is>
      </c>
      <c r="D4" s="26" t="inlineStr">
        <is>
          <t>Type</t>
        </is>
      </c>
      <c r="E4" s="26" t="inlineStr">
        <is>
          <t>Priority</t>
        </is>
      </c>
      <c r="F4" s="26" t="inlineStr">
        <is>
          <t>Status</t>
        </is>
      </c>
      <c r="G4" s="26" t="inlineStr">
        <is>
          <t>Source Sheet</t>
        </is>
      </c>
    </row>
    <row r="5">
      <c r="A5" s="27" t="inlineStr">
        <is>
          <t>B-020</t>
        </is>
      </c>
      <c r="B5" s="27" t="inlineStr">
        <is>
          <t>Series 1 Door Seeder</t>
        </is>
      </c>
      <c r="C5" s="27" t="inlineStr">
        <is>
          <t>Build selector that turns Series 1 template into CaseSpace seed JSON</t>
        </is>
      </c>
      <c r="D5" s="27" t="inlineStr">
        <is>
          <t>Product</t>
        </is>
      </c>
      <c r="E5" s="27" t="inlineStr">
        <is>
          <t>P0</t>
        </is>
      </c>
      <c r="F5" s="27" t="inlineStr">
        <is>
          <t>Open</t>
        </is>
      </c>
      <c r="G5" s="27" t="inlineStr">
        <is>
          <t>05_Series1_Templates</t>
        </is>
      </c>
    </row>
    <row r="6">
      <c r="A6" s="27" t="inlineStr">
        <is>
          <t>B-021</t>
        </is>
      </c>
      <c r="B6" s="27" t="inlineStr">
        <is>
          <t>Permit &amp; Bridge Lane Picker</t>
        </is>
      </c>
      <c r="C6" s="27" t="inlineStr">
        <is>
          <t>Interactive lane questionnaire and bridge rating for Permit &amp; Bridge</t>
        </is>
      </c>
      <c r="D6" s="27" t="inlineStr">
        <is>
          <t>Product</t>
        </is>
      </c>
      <c r="E6" s="27" t="inlineStr">
        <is>
          <t>P0</t>
        </is>
      </c>
      <c r="F6" s="27" t="inlineStr">
        <is>
          <t>Open</t>
        </is>
      </c>
      <c r="G6" s="27" t="inlineStr">
        <is>
          <t>08_Permit_Bridge_Lanes</t>
        </is>
      </c>
    </row>
    <row r="7">
      <c r="A7" s="27" t="inlineStr">
        <is>
          <t>B-022</t>
        </is>
      </c>
      <c r="B7" s="27" t="inlineStr">
        <is>
          <t>Dashboard State Model</t>
        </is>
      </c>
      <c r="C7" s="27" t="inlineStr">
        <is>
          <t>Define shared fields powering client/operator/system dashboards</t>
        </is>
      </c>
      <c r="D7" s="27" t="inlineStr">
        <is>
          <t>Product</t>
        </is>
      </c>
      <c r="E7" s="27" t="inlineStr">
        <is>
          <t>P0</t>
        </is>
      </c>
      <c r="F7" s="27" t="inlineStr">
        <is>
          <t>Open</t>
        </is>
      </c>
      <c r="G7" s="27" t="inlineStr">
        <is>
          <t>07_Dashboards</t>
        </is>
      </c>
    </row>
    <row r="8">
      <c r="A8" s="27" t="inlineStr">
        <is>
          <t>B-023</t>
        </is>
      </c>
      <c r="B8" s="27" t="inlineStr">
        <is>
          <t>Time &amp; Attendance Work Pack Seed</t>
        </is>
      </c>
      <c r="C8" s="27" t="inlineStr">
        <is>
          <t>Seed JSON and proof checklist for workforce template</t>
        </is>
      </c>
      <c r="D8" s="27" t="inlineStr">
        <is>
          <t>Product</t>
        </is>
      </c>
      <c r="E8" s="27" t="inlineStr">
        <is>
          <t>P1</t>
        </is>
      </c>
      <c r="F8" s="27" t="inlineStr">
        <is>
          <t>Open</t>
        </is>
      </c>
      <c r="G8" s="27" t="inlineStr">
        <is>
          <t>10_Time_Attendance</t>
        </is>
      </c>
    </row>
    <row r="9">
      <c r="A9" s="27" t="inlineStr">
        <is>
          <t>B-024</t>
        </is>
      </c>
      <c r="B9" s="27" t="inlineStr">
        <is>
          <t>Work Pack Installer</t>
        </is>
      </c>
      <c r="C9" s="27" t="inlineStr">
        <is>
          <t>Install a full work pack: parent CaseSpace, child templates, dashboards, proof rules</t>
        </is>
      </c>
      <c r="D9" s="27" t="inlineStr">
        <is>
          <t>Product</t>
        </is>
      </c>
      <c r="E9" s="27" t="inlineStr">
        <is>
          <t>P0</t>
        </is>
      </c>
      <c r="F9" s="27" t="inlineStr">
        <is>
          <t>Open</t>
        </is>
      </c>
      <c r="G9" s="27" t="inlineStr">
        <is>
          <t>06_Work_Packs</t>
        </is>
      </c>
    </row>
    <row r="10">
      <c r="A10" s="27" t="inlineStr">
        <is>
          <t>B-025</t>
        </is>
      </c>
      <c r="B10" s="27" t="inlineStr">
        <is>
          <t>Weekly Update Generator</t>
        </is>
      </c>
      <c r="C10" s="27" t="inlineStr">
        <is>
          <t>Generate six-field client update from CaseSpace state</t>
        </is>
      </c>
      <c r="D10" s="27" t="inlineStr">
        <is>
          <t>Product</t>
        </is>
      </c>
      <c r="E10" s="27" t="inlineStr">
        <is>
          <t>P1</t>
        </is>
      </c>
      <c r="F10" s="27" t="inlineStr">
        <is>
          <t>Open</t>
        </is>
      </c>
      <c r="G10" s="27" t="inlineStr">
        <is>
          <t>13_Operator_Page</t>
        </is>
      </c>
    </row>
    <row r="11">
      <c r="A11" s="27" t="inlineStr">
        <is>
          <t>B-026</t>
        </is>
      </c>
      <c r="B11" s="27" t="inlineStr">
        <is>
          <t>Seal Checklist</t>
        </is>
      </c>
      <c r="C11" s="27" t="inlineStr">
        <is>
          <t>Close child CaseSpace with required proof and rollup reference</t>
        </is>
      </c>
      <c r="D11" s="27" t="inlineStr">
        <is>
          <t>Product</t>
        </is>
      </c>
      <c r="E11" s="27" t="inlineStr">
        <is>
          <t>P1</t>
        </is>
      </c>
      <c r="F11" s="27" t="inlineStr">
        <is>
          <t>Open</t>
        </is>
      </c>
      <c r="G11" s="27" t="inlineStr">
        <is>
          <t>04_CaseSpace_Schema</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2" customWidth="1" style="30" min="1" max="1"/>
    <col width="44" customWidth="1" style="30" min="2" max="2"/>
    <col width="16" customWidth="1" style="30" min="3" max="3"/>
    <col width="70" customWidth="1" style="30" min="4" max="4"/>
    <col width="14" customWidth="1" style="30" min="5" max="5"/>
  </cols>
  <sheetData>
    <row r="1" ht="30" customHeight="1" s="30">
      <c r="A1" s="4" t="inlineStr">
        <is>
          <t>Template Ratifier — Add Doors Without Forking the System</t>
        </is>
      </c>
      <c r="B1" s="4" t="n"/>
      <c r="C1" s="4" t="n"/>
      <c r="D1" s="4" t="n"/>
      <c r="E1" s="4" t="n"/>
      <c r="F1" s="4" t="n"/>
      <c r="G1" s="4" t="n"/>
      <c r="H1" s="4" t="n"/>
    </row>
    <row r="2" ht="30" customHeight="1" s="30">
      <c r="A2" s="10" t="inlineStr">
        <is>
          <t>Every new template/work pack must pass these checks before becoming Series 1/2/3.</t>
        </is>
      </c>
      <c r="B2" s="10" t="n"/>
      <c r="C2" s="10" t="n"/>
      <c r="D2" s="10" t="n"/>
      <c r="E2" s="10" t="n"/>
      <c r="F2" s="10" t="n"/>
      <c r="G2" s="10" t="n"/>
      <c r="H2" s="10" t="n"/>
    </row>
    <row r="4">
      <c r="A4" s="26" t="inlineStr">
        <is>
          <t>ID</t>
        </is>
      </c>
      <c r="B4" s="26" t="inlineStr">
        <is>
          <t>Check</t>
        </is>
      </c>
      <c r="C4" s="26" t="inlineStr">
        <is>
          <t>Level</t>
        </is>
      </c>
      <c r="D4" s="26" t="inlineStr">
        <is>
          <t>Evidence Required</t>
        </is>
      </c>
      <c r="E4" s="26" t="inlineStr">
        <is>
          <t>Status</t>
        </is>
      </c>
    </row>
    <row r="5">
      <c r="A5" s="27" t="inlineStr">
        <is>
          <t>R-001</t>
        </is>
      </c>
      <c r="B5" s="27" t="inlineStr">
        <is>
          <t>Maps to standing/closing CaseSpace</t>
        </is>
      </c>
      <c r="C5" s="27" t="inlineStr">
        <is>
          <t>Required</t>
        </is>
      </c>
      <c r="D5" s="27" t="inlineStr">
        <is>
          <t>Template declares parent and closing children</t>
        </is>
      </c>
      <c r="E5" s="27" t="inlineStr">
        <is>
          <t>PASS</t>
        </is>
      </c>
    </row>
    <row r="6">
      <c r="A6" s="27" t="inlineStr">
        <is>
          <t>R-002</t>
        </is>
      </c>
      <c r="B6" s="27" t="inlineStr">
        <is>
          <t>Uses Capture/Classify/Advance/Seal</t>
        </is>
      </c>
      <c r="C6" s="27" t="inlineStr">
        <is>
          <t>Required</t>
        </is>
      </c>
      <c r="D6" s="27" t="inlineStr">
        <is>
          <t>Template names the four actions and proof output</t>
        </is>
      </c>
      <c r="E6" s="27" t="inlineStr">
        <is>
          <t>PASS</t>
        </is>
      </c>
    </row>
    <row r="7">
      <c r="A7" s="27" t="inlineStr">
        <is>
          <t>R-003</t>
        </is>
      </c>
      <c r="B7" s="27" t="inlineStr">
        <is>
          <t>Names manual bridge removed</t>
        </is>
      </c>
      <c r="C7" s="27" t="inlineStr">
        <is>
          <t>Required</t>
        </is>
      </c>
      <c r="D7" s="27" t="inlineStr">
        <is>
          <t>P-002 proof of fix is explicit</t>
        </is>
      </c>
      <c r="E7" s="27" t="inlineStr">
        <is>
          <t>PASS</t>
        </is>
      </c>
    </row>
    <row r="8">
      <c r="A8" s="27" t="inlineStr">
        <is>
          <t>R-004</t>
        </is>
      </c>
      <c r="B8" s="27" t="inlineStr">
        <is>
          <t>Defines searchable fields</t>
        </is>
      </c>
      <c r="C8" s="27" t="inlineStr">
        <is>
          <t>Required</t>
        </is>
      </c>
      <c r="D8" s="27" t="inlineStr">
        <is>
          <t>P-001 proof of fix is explicit</t>
        </is>
      </c>
      <c r="E8" s="27" t="inlineStr">
        <is>
          <t>PASS</t>
        </is>
      </c>
    </row>
    <row r="9">
      <c r="A9" s="27" t="inlineStr">
        <is>
          <t>R-005</t>
        </is>
      </c>
      <c r="B9" s="27" t="inlineStr">
        <is>
          <t>Client surface stays PJ Lite</t>
        </is>
      </c>
      <c r="C9" s="27" t="inlineStr">
        <is>
          <t>Required</t>
        </is>
      </c>
      <c r="D9" s="27" t="inlineStr">
        <is>
          <t>Path Sheet / CaseSpace / Next Steps / Record only</t>
        </is>
      </c>
      <c r="E9" s="27" t="inlineStr">
        <is>
          <t>PASS</t>
        </is>
      </c>
    </row>
    <row r="10">
      <c r="A10" s="27" t="inlineStr">
        <is>
          <t>R-006</t>
        </is>
      </c>
      <c r="B10" s="27" t="inlineStr">
        <is>
          <t>Not a systems replacement claim</t>
        </is>
      </c>
      <c r="C10" s="27" t="inlineStr">
        <is>
          <t>Required</t>
        </is>
      </c>
      <c r="D10" s="27" t="inlineStr">
        <is>
          <t>Fenced as work pack/template, not HRIS/PMS/permitting/etc.</t>
        </is>
      </c>
      <c r="E10" s="27" t="inlineStr">
        <is>
          <t>PASS</t>
        </is>
      </c>
    </row>
    <row r="11">
      <c r="A11" s="27" t="inlineStr">
        <is>
          <t>R-007</t>
        </is>
      </c>
      <c r="B11" s="27" t="inlineStr">
        <is>
          <t>Seal rule included</t>
        </is>
      </c>
      <c r="C11" s="27" t="inlineStr">
        <is>
          <t>Required</t>
        </is>
      </c>
      <c r="D11" s="27" t="inlineStr">
        <is>
          <t>Closing children have proof and closeout conditions</t>
        </is>
      </c>
      <c r="E11" s="27" t="inlineStr">
        <is>
          <t>PASS</t>
        </is>
      </c>
    </row>
    <row r="12">
      <c r="A12" s="27" t="inlineStr">
        <is>
          <t>R-008</t>
        </is>
      </c>
      <c r="B12" s="27" t="inlineStr">
        <is>
          <t>Dashboard is a view, not record</t>
        </is>
      </c>
      <c r="C12" s="27" t="inlineStr">
        <is>
          <t>Required</t>
        </is>
      </c>
      <c r="D12" s="27" t="inlineStr">
        <is>
          <t>Dashboard reads CaseSpace state</t>
        </is>
      </c>
      <c r="E12" s="27" t="inlineStr">
        <is>
          <t>PASS</t>
        </is>
      </c>
    </row>
    <row r="13">
      <c r="A13" s="24" t="inlineStr">
        <is>
          <t>R-009</t>
        </is>
      </c>
      <c r="B13" s="24" t="inlineStr">
        <is>
          <t>Counsel-ready / no determinations</t>
        </is>
      </c>
      <c r="C13" s="24" t="inlineStr">
        <is>
          <t>Required</t>
        </is>
      </c>
      <c r="D13" s="24" t="inlineStr">
        <is>
          <t>Template uses law-aware language without legal advice or agency determinations</t>
        </is>
      </c>
      <c r="E13" s="24" t="inlineStr">
        <is>
          <t>PASS</t>
        </is>
      </c>
    </row>
    <row r="14">
      <c r="A14" s="24" t="inlineStr">
        <is>
          <t>R-010</t>
        </is>
      </c>
      <c r="B14" s="24" t="inlineStr">
        <is>
          <t>Partner-safe positioning</t>
        </is>
      </c>
      <c r="C14" s="24" t="inlineStr">
        <is>
          <t>Required</t>
        </is>
      </c>
      <c r="D14" s="24" t="inlineStr">
        <is>
          <t>Template does not step into CRM/front-door/permitting/PMS/HRIS/legal replacement language</t>
        </is>
      </c>
      <c r="E14" s="24" t="inlineStr">
        <is>
          <t>PASS</t>
        </is>
      </c>
    </row>
    <row r="15">
      <c r="A15" s="24" t="inlineStr">
        <is>
          <t>R-011</t>
        </is>
      </c>
      <c r="B15" s="24" t="inlineStr">
        <is>
          <t>Standing parent declared</t>
        </is>
      </c>
      <c r="C15" s="24" t="inlineStr">
        <is>
          <t>Required</t>
        </is>
      </c>
      <c r="D15" s="24" t="inlineStr">
        <is>
          <t>Every closing child identifies the standing parent it can seal into</t>
        </is>
      </c>
      <c r="E15" s="24" t="inlineStr">
        <is>
          <t>PASS</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2" customWidth="1" style="30" min="1" max="1"/>
    <col width="38" customWidth="1" style="30" min="2" max="2"/>
    <col width="72" customWidth="1" style="30" min="3" max="3"/>
    <col width="14" customWidth="1" style="30" min="4" max="4"/>
    <col width="24" customWidth="1" style="30" min="5" max="5"/>
  </cols>
  <sheetData>
    <row r="1" ht="67.19999694824219" customHeight="1" s="30">
      <c r="A1" s="51" t="inlineStr">
        <is>
          <t>Final Audit — Series 1 Workbook Release</t>
        </is>
      </c>
      <c r="B1" s="1" t="n"/>
      <c r="C1" s="1" t="n"/>
      <c r="D1" s="1" t="n"/>
      <c r="E1" s="1" t="n"/>
    </row>
    <row r="2" ht="144" customHeight="1" s="30">
      <c r="A2" s="52" t="inlineStr">
        <is>
          <t>Confirms the workbook now reflects the competitive teardown: primitive-first positioning, non-replacement, partner-safety, counsel-ready boundaries, and live proof loops.</t>
        </is>
      </c>
      <c r="B2" s="1" t="n"/>
      <c r="C2" s="1" t="n"/>
      <c r="D2" s="1" t="n"/>
      <c r="E2" s="1" t="n"/>
    </row>
    <row r="3" ht="15" customHeight="1" s="30"/>
    <row r="4" ht="15" customHeight="1" s="30">
      <c r="A4" s="38" t="inlineStr">
        <is>
          <t>Check ID</t>
        </is>
      </c>
      <c r="B4" s="38" t="inlineStr">
        <is>
          <t>Control</t>
        </is>
      </c>
      <c r="C4" s="38" t="inlineStr">
        <is>
          <t>Evidence</t>
        </is>
      </c>
      <c r="D4" s="38" t="inlineStr">
        <is>
          <t>Status</t>
        </is>
      </c>
      <c r="E4" s="38" t="inlineStr">
        <is>
          <t>Sheets</t>
        </is>
      </c>
    </row>
    <row r="5" ht="15" customHeight="1" s="30">
      <c r="A5" s="27" t="inlineStr">
        <is>
          <t>A-001</t>
        </is>
      </c>
      <c r="B5" s="27" t="inlineStr">
        <is>
          <t>CaseSpace remains the single primitive</t>
        </is>
      </c>
      <c r="C5" s="27" t="inlineStr">
        <is>
          <t>All doors map to standing/closing CaseSpaces, not new products.</t>
        </is>
      </c>
      <c r="D5" s="27" t="inlineStr">
        <is>
          <t>PASS</t>
        </is>
      </c>
      <c r="E5" s="27" t="inlineStr">
        <is>
          <t>01,04,05,09</t>
        </is>
      </c>
    </row>
    <row r="6" ht="26.39999961853027" customHeight="1" s="30">
      <c r="A6" s="27" t="inlineStr">
        <is>
          <t>A-002</t>
        </is>
      </c>
      <c r="B6" s="27" t="inlineStr">
        <is>
          <t>Hero claim moved from audit/proof words to primitive</t>
        </is>
      </c>
      <c r="C6" s="27" t="inlineStr">
        <is>
          <t>Core doctrine and competitive sheet lead with standing/closing + seal-upward.</t>
        </is>
      </c>
      <c r="D6" s="27" t="inlineStr">
        <is>
          <t>PASS</t>
        </is>
      </c>
      <c r="E6" s="27" t="inlineStr">
        <is>
          <t>01,15,16</t>
        </is>
      </c>
    </row>
    <row r="7" ht="15" customHeight="1" s="30">
      <c r="A7" s="27" t="inlineStr">
        <is>
          <t>A-003</t>
        </is>
      </c>
      <c r="B7" s="27" t="inlineStr">
        <is>
          <t>Surface-not-state is explicit</t>
        </is>
      </c>
      <c r="C7" s="27" t="inlineStr">
        <is>
          <t>External tools are signal/surface sources, not PJ state.</t>
        </is>
      </c>
      <c r="D7" s="27" t="inlineStr">
        <is>
          <t>PASS</t>
        </is>
      </c>
      <c r="E7" s="27" t="inlineStr">
        <is>
          <t>01,15,21</t>
        </is>
      </c>
    </row>
    <row r="8" ht="15" customHeight="1" s="30">
      <c r="A8" s="27" t="inlineStr">
        <is>
          <t>A-004</t>
        </is>
      </c>
      <c r="B8" s="27" t="inlineStr">
        <is>
          <t>Non-replacement discipline is explicit</t>
        </is>
      </c>
      <c r="C8" s="27" t="inlineStr">
        <is>
          <t>Partner protocol and battlecards say PJ does not become system of record.</t>
        </is>
      </c>
      <c r="D8" s="27" t="inlineStr">
        <is>
          <t>PASS</t>
        </is>
      </c>
      <c r="E8" s="27" t="inlineStr">
        <is>
          <t>01,20,21</t>
        </is>
      </c>
    </row>
    <row r="9" ht="15" customHeight="1" s="30">
      <c r="A9" s="27" t="inlineStr">
        <is>
          <t>A-005</t>
        </is>
      </c>
      <c r="B9" s="27" t="inlineStr">
        <is>
          <t>Counsel-ready / no legal advice fence added</t>
        </is>
      </c>
      <c r="C9" s="27" t="inlineStr">
        <is>
          <t>Templates organize facts/rules/questions/proof but do not make legal determinations.</t>
        </is>
      </c>
      <c r="D9" s="27" t="inlineStr">
        <is>
          <t>PASS</t>
        </is>
      </c>
      <c r="E9" s="27" t="inlineStr">
        <is>
          <t>01,21,22</t>
        </is>
      </c>
    </row>
    <row r="10" ht="15" customHeight="1" s="30">
      <c r="A10" s="27" t="inlineStr">
        <is>
          <t>A-006</t>
        </is>
      </c>
      <c r="B10" s="27" t="inlineStr">
        <is>
          <t>Polimorphic/GovWell threat updated</t>
        </is>
      </c>
      <c r="C10" s="27" t="inlineStr">
        <is>
          <t>Battlecards distinguish resident-service/permitting systems from governed work layer.</t>
        </is>
      </c>
      <c r="D10" s="27" t="inlineStr">
        <is>
          <t>PASS</t>
        </is>
      </c>
      <c r="E10" s="27" t="inlineStr">
        <is>
          <t>15,20,23</t>
        </is>
      </c>
    </row>
    <row r="11" ht="15" customHeight="1" s="30">
      <c r="A11" s="27" t="inlineStr">
        <is>
          <t>A-007</t>
        </is>
      </c>
      <c r="B11" s="27" t="inlineStr">
        <is>
          <t>Incumbents moved to Low-now / Medium-rising</t>
        </is>
      </c>
      <c r="C11" s="27" t="inlineStr">
        <is>
          <t>Watchlist names triggers for Granicus/OpenGov/Tyler encroachment.</t>
        </is>
      </c>
      <c r="D11" s="27" t="inlineStr">
        <is>
          <t>PASS</t>
        </is>
      </c>
      <c r="E11" s="27" t="inlineStr">
        <is>
          <t>15,23</t>
        </is>
      </c>
    </row>
    <row r="12" ht="26.39999961853027" customHeight="1" s="30">
      <c r="A12" s="27" t="inlineStr">
        <is>
          <t>A-008</t>
        </is>
      </c>
      <c r="B12" s="27" t="inlineStr">
        <is>
          <t>Tonkean downgraded operationally but watched strategically</t>
        </is>
      </c>
      <c r="C12" s="27" t="inlineStr">
        <is>
          <t>Coupa acquisition of Tonkean noted on the competitive sheet and sourced (SRC-006); conceptual cousin, low buyer collision. Not battlecarded.</t>
        </is>
      </c>
      <c r="D12" s="27" t="inlineStr">
        <is>
          <t>PASS</t>
        </is>
      </c>
      <c r="E12" s="27" t="inlineStr">
        <is>
          <t>15,24</t>
        </is>
      </c>
    </row>
    <row r="13" ht="15" customHeight="1" s="30">
      <c r="A13" s="27" t="inlineStr">
        <is>
          <t>A-009</t>
        </is>
      </c>
      <c r="B13" s="27" t="inlineStr">
        <is>
          <t>Series 1 launch set defined and tracked</t>
        </is>
      </c>
      <c r="C13" s="27" t="inlineStr">
        <is>
          <t>Five launch doors at P0 (Path Sheet Entry, Permit &amp; Bridge, Grant Readiness, Property Memory/STAY, Policy/SOP Stewardship); three PJ Lite Service templates also P0 (Quick Review, Bridge Package, Live CaseSpace); extended templates P1-P2. Eight P0 total, separated by the Track column on sheet 05.</t>
        </is>
      </c>
      <c r="D13" s="27" t="inlineStr">
        <is>
          <t>PASS</t>
        </is>
      </c>
      <c r="E13" s="27" t="inlineStr">
        <is>
          <t>05,16,22</t>
        </is>
      </c>
    </row>
    <row r="14" ht="15" customHeight="1" s="30">
      <c r="A14" s="27" t="inlineStr">
        <is>
          <t>A-010</t>
        </is>
      </c>
      <c r="B14" s="27" t="inlineStr">
        <is>
          <t>Policy/SOP Stewardship moved up</t>
        </is>
      </c>
      <c r="C14" s="27" t="inlineStr">
        <is>
          <t>P0 and named as core stewardship moat.</t>
        </is>
      </c>
      <c r="D14" s="27" t="inlineStr">
        <is>
          <t>PASS</t>
        </is>
      </c>
      <c r="E14" s="27" t="inlineStr">
        <is>
          <t>05,16</t>
        </is>
      </c>
    </row>
    <row r="15" ht="15" customHeight="1" s="30">
      <c r="A15" s="27" t="inlineStr">
        <is>
          <t>A-011</t>
        </is>
      </c>
      <c r="B15" s="27" t="inlineStr">
        <is>
          <t>Front-door/inbound language reduced</t>
        </is>
      </c>
      <c r="C15" s="27" t="inlineStr">
        <is>
          <t>Workbook uses Path Sheet Entry / CaseSpace Entry and warns against front-door claims.</t>
        </is>
      </c>
      <c r="D15" s="27" t="inlineStr">
        <is>
          <t>PASS</t>
        </is>
      </c>
      <c r="E15" s="27" t="inlineStr">
        <is>
          <t>05,15,20,21</t>
        </is>
      </c>
    </row>
    <row r="16" ht="15" customHeight="1" s="30">
      <c r="A16" s="27" t="inlineStr">
        <is>
          <t>A-012</t>
        </is>
      </c>
      <c r="B16" s="27" t="inlineStr">
        <is>
          <t>Sample Path Sheets added</t>
        </is>
      </c>
      <c r="C16" s="27" t="inlineStr">
        <is>
          <t>Phillipston, grant/project-development, and Kendall Pond examples use same structure.</t>
        </is>
      </c>
      <c r="D16" s="27" t="inlineStr">
        <is>
          <t>PASS</t>
        </is>
      </c>
      <c r="E16" s="27" t="inlineStr">
        <is>
          <t>22</t>
        </is>
      </c>
    </row>
    <row r="17" ht="15" customHeight="1" s="30">
      <c r="A17" s="27" t="inlineStr">
        <is>
          <t>A-013</t>
        </is>
      </c>
      <c r="B17" s="27" t="inlineStr">
        <is>
          <t>Source register added</t>
        </is>
      </c>
      <c r="C17" s="27" t="inlineStr">
        <is>
          <t>Public URLs included for competitor pressure-test facts.</t>
        </is>
      </c>
      <c r="D17" s="27" t="inlineStr">
        <is>
          <t>PASS</t>
        </is>
      </c>
      <c r="E17" s="27" t="inlineStr">
        <is>
          <t>24</t>
        </is>
      </c>
    </row>
    <row r="18" ht="15" customHeight="1" s="30">
      <c r="A18" s="27" t="inlineStr">
        <is>
          <t>A-014</t>
        </is>
      </c>
      <c r="B18" s="27" t="inlineStr">
        <is>
          <t>Rule of Three preserved</t>
        </is>
      </c>
      <c r="C18" s="27" t="inlineStr">
        <is>
          <t>Custom features remain pattern-managed before build.</t>
        </is>
      </c>
      <c r="D18" s="27" t="inlineStr">
        <is>
          <t>PASS</t>
        </is>
      </c>
      <c r="E18" s="27" t="inlineStr">
        <is>
          <t>14,17,18</t>
        </is>
      </c>
    </row>
    <row r="19" ht="15" customHeight="1" s="30">
      <c r="A19" s="27" t="inlineStr">
        <is>
          <t>A-015</t>
        </is>
      </c>
      <c r="B19" s="27" t="inlineStr">
        <is>
          <t>First build loop proves moat</t>
        </is>
      </c>
      <c r="C19" s="27" t="inlineStr">
        <is>
          <t>Build order focuses on opening, moving, and sealing a CaseSpace upward.</t>
        </is>
      </c>
      <c r="D19" s="27" t="inlineStr">
        <is>
          <t>PASS</t>
        </is>
      </c>
      <c r="E19" s="27" t="inlineStr">
        <is>
          <t>16</t>
        </is>
      </c>
    </row>
    <row r="20">
      <c r="A20" s="27" t="inlineStr">
        <is>
          <t>A-016</t>
        </is>
      </c>
      <c r="B20" s="27" t="inlineStr">
        <is>
          <t>Series-1 IDs reconciled to one scheme</t>
        </is>
      </c>
      <c r="C20" s="27" t="inlineStr">
        <is>
          <t>Sheet 05 renumbered launch-doors-first: S1-001..005 launch doors, S1-006..008 PJ Lite Service, S1-009..016 extended. Track column added. Matches canon numbering; no S1-ID references exist outside sheet 05.</t>
        </is>
      </c>
      <c r="D20" s="27" t="inlineStr">
        <is>
          <t>PASS</t>
        </is>
      </c>
      <c r="E20" s="27" t="inlineStr">
        <is>
          <t>05</t>
        </is>
      </c>
    </row>
    <row r="21">
      <c r="A21" s="27" t="inlineStr">
        <is>
          <t>A-017</t>
        </is>
      </c>
      <c r="B21" s="27" t="inlineStr">
        <is>
          <t>Output = user-composed experience</t>
        </is>
      </c>
      <c r="C21" s="27" t="inlineStr">
        <is>
          <t>Doctrine widened to templates + tools + information with a Composer Rule (user builds; PublicLogic takes it from there). No single work pack is the output; Time &amp; Attendance reframed as one door. CaseSpace owner floor set to a single user or a duo.</t>
        </is>
      </c>
      <c r="D21" s="27" t="inlineStr">
        <is>
          <t>PASS</t>
        </is>
      </c>
      <c r="E21" s="27" t="inlineStr">
        <is>
          <t>01,04,10</t>
        </is>
      </c>
    </row>
    <row r="22">
      <c r="A22" s="27" t="inlineStr">
        <is>
          <t>A-018</t>
        </is>
      </c>
      <c r="B22" s="27" t="inlineStr">
        <is>
          <t>Split-Row combo + industry map closed</t>
        </is>
      </c>
      <c r="C22" s="27" t="inlineStr">
        <is>
          <t>Tools mapped as consonant row (invariant), templates/industry as vowel row (overlay); tool x template combos and per-industry combos enumerated; free boundary set to first-pass Path Sheet only.</t>
        </is>
      </c>
      <c r="D22" s="27" t="inlineStr">
        <is>
          <t>PASS</t>
        </is>
      </c>
      <c r="E22" s="27" t="inlineStr">
        <is>
          <t>25,26</t>
        </is>
      </c>
    </row>
  </sheetData>
  <mergeCells count="2">
    <mergeCell ref="A2:E2"/>
    <mergeCell ref="A1:E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4" customWidth="1" style="30" min="1" max="1"/>
    <col width="38" customWidth="1" style="30" min="2" max="2"/>
    <col width="38" customWidth="1" style="30" min="3" max="3"/>
    <col width="72" customWidth="1" style="30" min="4" max="4"/>
    <col width="44" customWidth="1" style="30" min="5" max="5"/>
    <col width="34" customWidth="1" style="30" min="6" max="6"/>
  </cols>
  <sheetData>
    <row r="1" ht="50.40000152587891" customHeight="1" s="30">
      <c r="A1" s="51" t="inlineStr">
        <is>
          <t>Battlecards — How to Answer the Sophisticated Buyer</t>
        </is>
      </c>
      <c r="B1" s="1" t="n"/>
      <c r="C1" s="1" t="n"/>
      <c r="D1" s="1" t="n"/>
      <c r="E1" s="1" t="n"/>
      <c r="F1" s="1" t="n"/>
    </row>
    <row r="2" ht="48" customHeight="1" s="30">
      <c r="A2" s="52" t="inlineStr">
        <is>
          <t>Use these to keep PJ out of other people's categories while showing why the CaseSpace primitive matters.</t>
        </is>
      </c>
      <c r="B2" s="1" t="n"/>
      <c r="C2" s="1" t="n"/>
      <c r="D2" s="1" t="n"/>
      <c r="E2" s="1" t="n"/>
      <c r="F2" s="1" t="n"/>
    </row>
    <row r="3" ht="15" customHeight="1" s="30"/>
    <row r="4" ht="15" customHeight="1" s="30">
      <c r="A4" s="43" t="inlineStr">
        <is>
          <t>Competitor / Objection</t>
        </is>
      </c>
      <c r="B4" s="43" t="inlineStr">
        <is>
          <t>What They Already Have</t>
        </is>
      </c>
      <c r="C4" s="43" t="inlineStr">
        <is>
          <t>Buyer Confusion</t>
        </is>
      </c>
      <c r="D4" s="43" t="inlineStr">
        <is>
          <t>PublicLogic Answer</t>
        </is>
      </c>
      <c r="E4" s="43" t="inlineStr">
        <is>
          <t>Proof / Demo Required</t>
        </is>
      </c>
      <c r="F4" s="43" t="inlineStr">
        <is>
          <t>Avoid Saying</t>
        </is>
      </c>
    </row>
    <row r="5" ht="39.59999847412109" customHeight="1" s="30">
      <c r="A5" s="27" t="inlineStr">
        <is>
          <t>Polimorphic</t>
        </is>
      </c>
      <c r="B5" s="27" t="inlineStr">
        <is>
          <t>AI front desk; resident-service platform; CRM; case management; institutional knowledge/audit-trail narrative</t>
        </is>
      </c>
      <c r="C5" s="27" t="inlineStr">
        <is>
          <t>'Don't they already give me the record and institutional memory?'</t>
        </is>
      </c>
      <c r="D5" s="27" t="inlineStr">
        <is>
          <t>Polimorphic may be the CRM/service record. PJ is the governed work layer that nests the work into the property, department, grant, project, policy, or operating record it belongs to, then seals closing work upward across systems.</t>
        </is>
      </c>
      <c r="E5" s="27" t="inlineStr">
        <is>
          <t>Show service request/permit/grant/email signals becoming one closing CaseSpace that seals into a standing parent.</t>
        </is>
      </c>
      <c r="F5" s="27" t="inlineStr">
        <is>
          <t>Inbound services; AI front desk; resident intake; municipal CRM; from intake to resolution</t>
        </is>
      </c>
    </row>
    <row r="6" ht="39.59999847412109" customHeight="1" s="30">
      <c r="A6" s="27" t="inlineStr">
        <is>
          <t>GovWell</t>
        </is>
      </c>
      <c r="B6" s="27" t="inlineStr">
        <is>
          <t>Permitting/licensing/community-development system of record; AI OS for modern government</t>
        </is>
      </c>
      <c r="C6" s="27" t="inlineStr">
        <is>
          <t>'If I buy GovWell, why do I need Permit &amp; Bridge?'</t>
        </is>
      </c>
      <c r="D6" s="27" t="inlineStr">
        <is>
          <t>GovWell runs formal permitting/licensing. Permit &amp; Bridge organizes readiness before/beside/after formal systems: facts, missing docs, authority questions, risks, next steps, and proof.</t>
        </is>
      </c>
      <c r="E6" s="27" t="inlineStr">
        <is>
          <t>Show Permit &amp; Bridge Path Sheet that does not approve/deny/file anything, then becomes a readiness CaseSpace.</t>
        </is>
      </c>
      <c r="F6" s="27" t="inlineStr">
        <is>
          <t>AI permitting OS; permitting software; code-compliance engine</t>
        </is>
      </c>
    </row>
    <row r="7" ht="39.59999847412109" customHeight="1" s="30">
      <c r="A7" s="27" t="inlineStr">
        <is>
          <t>Tyler / OpenGov / Granicus</t>
        </is>
      </c>
      <c r="B7" s="27" t="inlineStr">
        <is>
          <t>Large government systems of record, digital services, records, AI agents, ERP/permitting/budget/courts platforms</t>
        </is>
      </c>
      <c r="C7" s="27" t="inlineStr">
        <is>
          <t>'Won't our existing platform already have this?'</t>
        </is>
      </c>
      <c r="D7" s="27" t="inlineStr">
        <is>
          <t>Those platforms own domain records. PJ makes the cross-system work portable and provable without replacing them: email, docs, vendor notes, board decisions, grants, and child cases roll into a standing record.</t>
        </is>
      </c>
      <c r="E7" s="27" t="inlineStr">
        <is>
          <t>Show a standing project parent with child cases touching multiple systems.</t>
        </is>
      </c>
      <c r="F7" s="27" t="inlineStr">
        <is>
          <t>Replacement platform; source of truth for all agency operations</t>
        </is>
      </c>
    </row>
    <row r="8" ht="26.39999961853027" customHeight="1" s="30">
      <c r="A8" s="27" t="inlineStr">
        <is>
          <t>Airtable / Kissflow / Knack</t>
        </is>
      </c>
      <c r="B8" s="27" t="inlineStr">
        <is>
          <t>Generic no-code workflow builders with AI/governance/audit features</t>
        </is>
      </c>
      <c r="C8" s="27" t="inlineStr">
        <is>
          <t>'Could a consultant build this in Airtable?'</t>
        </is>
      </c>
      <c r="D8" s="27" t="inlineStr">
        <is>
          <t>They can build a base for one client. They do not ship the doctrine, standing/closing primitive, seal-upward rule, law-aware templates, or stewardship upkeep across customers.</t>
        </is>
      </c>
      <c r="E8" s="27" t="inlineStr">
        <is>
          <t>Show ratifier + maintained template library + seal checklist.</t>
        </is>
      </c>
      <c r="F8" s="27" t="inlineStr">
        <is>
          <t>No-code platform; workflow automation tool</t>
        </is>
      </c>
    </row>
    <row r="9" ht="39.59999847412109" customHeight="1" s="30">
      <c r="A9" s="27" t="inlineStr">
        <is>
          <t>BRYTER / Checkbox</t>
        </is>
      </c>
      <c r="B9" s="27" t="inlineStr">
        <is>
          <t>Legal/compliance front doors, matter management, intake/workflow automation, auditable records</t>
        </is>
      </c>
      <c r="C9" s="27" t="inlineStr">
        <is>
          <t>'Is this legal automation?'</t>
        </is>
      </c>
      <c r="D9" s="27" t="inlineStr">
        <is>
          <t>No. PublicLogic is counsel-ready, not counsel-replacing. It organizes facts, documents, deadlines, authority questions, and proof so the right decision-maker can act from a cleaner record.</t>
        </is>
      </c>
      <c r="E9" s="27" t="inlineStr">
        <is>
          <t>Show no-determination language in each template and counsel-ready export.</t>
        </is>
      </c>
      <c r="F9" s="27" t="inlineStr">
        <is>
          <t>Legal advice; legal determinations; matter management</t>
        </is>
      </c>
    </row>
    <row r="10" ht="26.39999961853027" customHeight="1" s="30">
      <c r="A10" s="27" t="inlineStr">
        <is>
          <t>Guesty / Hostaway / Hospitable / OwnerRez</t>
        </is>
      </c>
      <c r="B10" s="27" t="inlineStr">
        <is>
          <t>Bookings, channel management, guest messaging, PMS operations</t>
        </is>
      </c>
      <c r="C10" s="27" t="inlineStr">
        <is>
          <t>'Is this another PMS?'</t>
        </is>
      </c>
      <c r="D10" s="27" t="inlineStr">
        <is>
          <t>No. Guesty runs bookings. PJ remembers the property: turnover proof, maintenance issues, vendor history, guest exceptions, incident records, and owner continuity.</t>
        </is>
      </c>
      <c r="E10" s="27" t="inlineStr">
        <is>
          <t>Show Kendall Pond property parent + maintenance/turnover child cases.</t>
        </is>
      </c>
      <c r="F10" s="27" t="inlineStr">
        <is>
          <t>Booking engine; channel manager; PMS</t>
        </is>
      </c>
    </row>
    <row r="11" ht="39.59999847412109" customHeight="1" s="30">
      <c r="A11" s="27" t="inlineStr">
        <is>
          <t>Parth / Polimorphic partner posture</t>
        </is>
      </c>
      <c r="B11" s="27" t="inlineStr">
        <is>
          <t>Potential partner in resident-facing government service delivery</t>
        </is>
      </c>
      <c r="C11" s="27" t="inlineStr">
        <is>
          <t>'Are you stepping on their toes?'</t>
        </is>
      </c>
      <c r="D11" s="27" t="inlineStr">
        <is>
          <t>No. PublicLogic should explicitly say it is not building inbound resident-service or replacing the front-door work. It strengthens readiness, grant, policy/SOP, continuity, and governed work around systems.</t>
        </is>
      </c>
      <c r="E11" s="27" t="inlineStr">
        <is>
          <t>Send only relationship-safe overview first; NDA package only after renewed interest/coverage.</t>
        </is>
      </c>
      <c r="F11" s="27" t="inlineStr">
        <is>
          <t>Anything implying they copied you or that PJ is their replacement</t>
        </is>
      </c>
    </row>
  </sheetData>
  <mergeCells count="2">
    <mergeCell ref="A2:F2"/>
    <mergeCell ref="A1:F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2" customWidth="1" style="30" min="1" max="1"/>
    <col width="56" customWidth="1" style="30" min="2" max="2"/>
    <col width="56" customWidth="1" style="30" min="3" max="3"/>
    <col width="54" customWidth="1" style="30" min="4" max="4"/>
    <col width="20" customWidth="1" style="30" min="5" max="5"/>
  </cols>
  <sheetData>
    <row r="1" ht="67.19999694824219" customHeight="1" s="30">
      <c r="A1" s="51" t="inlineStr">
        <is>
          <t>Partner Protocol — Non-Replacement, NDA, and Category Safety</t>
        </is>
      </c>
      <c r="B1" s="1" t="n"/>
      <c r="C1" s="1" t="n"/>
      <c r="D1" s="1" t="n"/>
      <c r="E1" s="1" t="n"/>
    </row>
    <row r="2" ht="72" customHeight="1" s="30">
      <c r="A2" s="52" t="inlineStr">
        <is>
          <t>This sheet protects PublicLogic while preserving partner upside. It should guide Polimorphic, platform partners, consultants, and client-facing material.</t>
        </is>
      </c>
      <c r="B2" s="1" t="n"/>
      <c r="C2" s="1" t="n"/>
      <c r="D2" s="1" t="n"/>
      <c r="E2" s="1" t="n"/>
    </row>
    <row r="3" ht="15" customHeight="1" s="30"/>
    <row r="4" ht="15" customHeight="1" s="30">
      <c r="A4" s="43" t="inlineStr">
        <is>
          <t>Rule</t>
        </is>
      </c>
      <c r="B4" s="43" t="inlineStr">
        <is>
          <t>Allowed</t>
        </is>
      </c>
      <c r="C4" s="43" t="inlineStr">
        <is>
          <t>Not Allowed</t>
        </is>
      </c>
      <c r="D4" s="43" t="inlineStr">
        <is>
          <t>Reason</t>
        </is>
      </c>
      <c r="E4" s="43" t="inlineStr">
        <is>
          <t>Applies To</t>
        </is>
      </c>
      <c r="F4" s="43" t="n"/>
    </row>
    <row r="5" ht="26.39999961853027" customHeight="1" s="30">
      <c r="A5" s="27" t="inlineStr">
        <is>
          <t>Non-Replacement</t>
        </is>
      </c>
      <c r="B5" s="27" t="inlineStr">
        <is>
          <t>PublicLogic sits beside/around existing systems and organizes governed work across them.</t>
        </is>
      </c>
      <c r="C5" s="27" t="inlineStr">
        <is>
          <t>Do not say PJ replaces CRM, permitting, ERP, PMS, HRIS, legal systems, grant platforms, or records systems.</t>
        </is>
      </c>
      <c r="D5" s="27" t="inlineStr">
        <is>
          <t>Keeps PJ partner-friendly and lowers procurement friction.</t>
        </is>
      </c>
      <c r="E5" s="27" t="inlineStr">
        <is>
          <t>All partners</t>
        </is>
      </c>
      <c r="F5" s="27" t="n"/>
    </row>
    <row r="6" ht="26.39999961853027" customHeight="1" s="30">
      <c r="A6" s="27" t="inlineStr">
        <is>
          <t>Polimorphic Fence</t>
        </is>
      </c>
      <c r="B6" s="27" t="inlineStr">
        <is>
          <t>Describe PublicLogic as readiness, grant, policy/SOP, stewardship, and CaseSpace layer around operational work.</t>
        </is>
      </c>
      <c r="C6" s="27" t="inlineStr">
        <is>
          <t>Do not pitch inbound resident service, AI front desk, voice/chat routing, CRM, or case management from intake to resolution.</t>
        </is>
      </c>
      <c r="D6" s="27" t="inlineStr">
        <is>
          <t>Polimorphic publicly owns much of the resident-service/front-door lane.</t>
        </is>
      </c>
      <c r="E6" s="27" t="inlineStr">
        <is>
          <t>Polimorphic</t>
        </is>
      </c>
      <c r="F6" s="27" t="n"/>
    </row>
    <row r="7" ht="26.39999961853027" customHeight="1" s="30">
      <c r="A7" s="27" t="inlineStr">
        <is>
          <t>GovWell Fence</t>
        </is>
      </c>
      <c r="B7" s="27" t="inlineStr">
        <is>
          <t>Permit &amp; Bridge organizes readiness before/beside/after a formal filing or review.</t>
        </is>
      </c>
      <c r="C7" s="27" t="inlineStr">
        <is>
          <t>Do not call it permitting software, code-compliance review, or permit approval/denial.</t>
        </is>
      </c>
      <c r="D7" s="27" t="inlineStr">
        <is>
          <t>GovWell and incumbents own permitting/licensing systems of record.</t>
        </is>
      </c>
      <c r="E7" s="27" t="inlineStr">
        <is>
          <t>GovWell / MUNI</t>
        </is>
      </c>
      <c r="F7" s="27" t="n"/>
    </row>
    <row r="8" ht="26.39999961853027" customHeight="1" s="30">
      <c r="A8" s="27" t="inlineStr">
        <is>
          <t>Legal Fence</t>
        </is>
      </c>
      <c r="B8" s="27" t="inlineStr">
        <is>
          <t>Use law-aware, counsel-ready, record-ready, authority-question language.</t>
        </is>
      </c>
      <c r="C8" s="27" t="inlineStr">
        <is>
          <t>Do not provide legal advice, legal conclusions, agency determinations, or automated approvals/denials.</t>
        </is>
      </c>
      <c r="D8" s="27" t="inlineStr">
        <is>
          <t>Turns disclaimer into value: cleaner records for real decision-makers.</t>
        </is>
      </c>
      <c r="E8" s="27" t="inlineStr">
        <is>
          <t>All templates</t>
        </is>
      </c>
      <c r="F8" s="27" t="n"/>
    </row>
    <row r="9" ht="26.39999961853027" customHeight="1" s="30">
      <c r="A9" s="27" t="inlineStr">
        <is>
          <t>NDA Hygiene</t>
        </is>
      </c>
      <c r="B9" s="27" t="inlineStr">
        <is>
          <t>Use only public partner information unless a current NDA/work order covers the exchange.</t>
        </is>
      </c>
      <c r="C9" s="27" t="inlineStr">
        <is>
          <t>Do not reference confidential roadmap, client intel, pricing, partner talks, or private demos in external materials.</t>
        </is>
      </c>
      <c r="D9" s="27" t="inlineStr">
        <is>
          <t>Protects relationships and avoids tainting product positioning.</t>
        </is>
      </c>
      <c r="E9" s="27" t="inlineStr">
        <is>
          <t>All partners</t>
        </is>
      </c>
      <c r="F9" s="27" t="n"/>
    </row>
    <row r="10" ht="15" customHeight="1" s="30">
      <c r="A10" s="27" t="inlineStr">
        <is>
          <t>Source Register</t>
        </is>
      </c>
      <c r="B10" s="27" t="inlineStr">
        <is>
          <t>Record public URLs in Source_Register for competitive claims.</t>
        </is>
      </c>
      <c r="C10" s="27" t="inlineStr">
        <is>
          <t>Do not leave current market facts uncited inside strategy artifacts.</t>
        </is>
      </c>
      <c r="D10" s="27" t="inlineStr">
        <is>
          <t>Keeps workbook reusable and honest.</t>
        </is>
      </c>
      <c r="E10" s="27" t="inlineStr">
        <is>
          <t>Competitive sheets</t>
        </is>
      </c>
      <c r="F10" s="27" t="n"/>
    </row>
    <row r="11" ht="26.39999961853027" customHeight="1" s="30">
      <c r="A11" s="27" t="inlineStr">
        <is>
          <t>Stewardship Posture</t>
        </is>
      </c>
      <c r="B11" s="27" t="inlineStr">
        <is>
          <t>Name PublicLogic Stewardship as human-supported template upkeep and continuity support.</t>
        </is>
      </c>
      <c r="C11" s="27" t="inlineStr">
        <is>
          <t>Do not hide services as generic consulting or oversell as autonomous AI.</t>
        </is>
      </c>
      <c r="D11" s="27" t="inlineStr">
        <is>
          <t>This is a moat, not a weakness.</t>
        </is>
      </c>
      <c r="E11" s="27" t="inlineStr">
        <is>
          <t>Sales / product</t>
        </is>
      </c>
      <c r="F11" s="27" t="n"/>
    </row>
    <row r="12" ht="26.39999961853027" customHeight="1" s="30">
      <c r="A12" s="27" t="inlineStr">
        <is>
          <t>Package Sequence</t>
        </is>
      </c>
      <c r="B12" s="27" t="inlineStr">
        <is>
          <t>Reconnect first; send overview; then NDA/template package only if interest is confirmed.</t>
        </is>
      </c>
      <c r="C12" s="27" t="inlineStr">
        <is>
          <t>Do not attach heavy NDA package to first reconnection email.</t>
        </is>
      </c>
      <c r="D12" s="27" t="inlineStr">
        <is>
          <t>Reduces friction and avoids sounding presumptive.</t>
        </is>
      </c>
      <c r="E12" s="27" t="inlineStr">
        <is>
          <t>Parth / dormant partners</t>
        </is>
      </c>
      <c r="F12" s="27" t="n"/>
    </row>
    <row r="13" ht="15" customHeight="1" s="30">
      <c r="A13" s="27" t="n"/>
      <c r="B13" s="27" t="n"/>
      <c r="C13" s="27" t="n"/>
      <c r="D13" s="27" t="n"/>
      <c r="E13" s="27" t="n"/>
      <c r="F13" s="27" t="n"/>
    </row>
    <row r="14" ht="39.59999847412109" customHeight="1" s="30">
      <c r="A14" s="27" t="inlineStr">
        <is>
          <t>Partner-Safe One-Liner</t>
        </is>
      </c>
      <c r="B14" s="27" t="inlineStr">
        <is>
          <t>PublicLogic provides ready-to-run templates for governed work; each opens as a CaseSpace so the work can move, be handed off, and seal into a record without replacing the systems already in place.</t>
        </is>
      </c>
      <c r="C14" s="27" t="n"/>
      <c r="D14" s="27" t="n"/>
      <c r="E14" s="27" t="n"/>
      <c r="F14" s="27" t="n"/>
    </row>
  </sheetData>
  <mergeCells count="2">
    <mergeCell ref="A2:E2"/>
    <mergeCell ref="A1:E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8" customWidth="1" style="30" min="1" max="1"/>
    <col width="12" customWidth="1" style="30" min="2" max="2"/>
    <col width="28" customWidth="1" style="30" min="3" max="3"/>
    <col width="42" customWidth="1" style="30" min="4" max="4"/>
    <col width="58" customWidth="1" style="30" min="5" max="5"/>
    <col width="58" customWidth="1" style="30" min="6" max="6"/>
    <col width="42" customWidth="1" style="30" min="7" max="7"/>
    <col width="58" customWidth="1" style="30" min="8" max="8"/>
  </cols>
  <sheetData>
    <row r="1" ht="50.40000152587891" customHeight="1" s="30">
      <c r="A1" s="51" t="inlineStr">
        <is>
          <t>Sample Path Sheets — Same Structure Across MUNI, GRANT, and STAY</t>
        </is>
      </c>
      <c r="B1" s="1" t="n"/>
      <c r="C1" s="1" t="n"/>
      <c r="D1" s="1" t="n"/>
      <c r="E1" s="1" t="n"/>
      <c r="F1" s="1" t="n"/>
      <c r="G1" s="1" t="n"/>
      <c r="H1" s="1" t="n"/>
    </row>
    <row r="2" ht="60" customHeight="1" s="30">
      <c r="A2" s="52" t="inlineStr">
        <is>
          <t>These filled examples prove the product: a messy intake becomes a Path Sheet, opens a CaseSpace, advances through facts/docs/decisions, then seals upward into a standing parent.</t>
        </is>
      </c>
      <c r="B2" s="1" t="n"/>
      <c r="C2" s="1" t="n"/>
      <c r="D2" s="1" t="n"/>
      <c r="E2" s="1" t="n"/>
      <c r="F2" s="1" t="n"/>
      <c r="G2" s="1" t="n"/>
      <c r="H2" s="1" t="n"/>
    </row>
    <row r="3" ht="15" customHeight="1" s="30"/>
    <row r="4" ht="15" customHeight="1" s="30">
      <c r="A4" s="43" t="inlineStr">
        <is>
          <t>Example</t>
        </is>
      </c>
      <c r="B4" s="43" t="inlineStr">
        <is>
          <t>Skin</t>
        </is>
      </c>
      <c r="C4" s="43" t="inlineStr">
        <is>
          <t>Standing Parent</t>
        </is>
      </c>
      <c r="D4" s="43" t="inlineStr">
        <is>
          <t>Desired Outcome</t>
        </is>
      </c>
      <c r="E4" s="43" t="inlineStr">
        <is>
          <t>Known Facts</t>
        </is>
      </c>
      <c r="F4" s="43" t="inlineStr">
        <is>
          <t>Missing Facts / Questions</t>
        </is>
      </c>
      <c r="G4" s="43" t="inlineStr">
        <is>
          <t>Needed Documents</t>
        </is>
      </c>
      <c r="H4" s="43" t="inlineStr">
        <is>
          <t>Recommended Next Step</t>
        </is>
      </c>
    </row>
    <row r="5" ht="26.39999961853027" customHeight="1" s="30">
      <c r="A5" s="27" t="inlineStr">
        <is>
          <t>Phillipston Web / Workflow Cleanup</t>
        </is>
      </c>
      <c r="B5" s="27" t="inlineStr">
        <is>
          <t>MUNI</t>
        </is>
      </c>
      <c r="C5" s="27" t="inlineStr">
        <is>
          <t>Town / Department / Website Program</t>
        </is>
      </c>
      <c r="D5" s="27" t="inlineStr">
        <is>
          <t>Make a municipal page/workflow ready, accurate, and staff-usable without creating a new system.</t>
        </is>
      </c>
      <c r="E5" s="27" t="inlineStr">
        <is>
          <t>Existing CivicPlus/Web Central migration; known department pages; public-facing hours/contacts; staff needs continuity.</t>
        </is>
      </c>
      <c r="F5" s="27" t="inlineStr">
        <is>
          <t>Which page owns the workflow? Who approves language? What documents are canonical? What must be published vs. retained internally?</t>
        </is>
      </c>
      <c r="G5" s="27" t="inlineStr">
        <is>
          <t>Current page copy; approval notes; board/department source docs; staff contact list; change log.</t>
        </is>
      </c>
      <c r="H5" s="27" t="inlineStr">
        <is>
          <t>Open a MUNI CaseSpace; classify as Policy/SOP or Public Records/Board Packet as needed; prepare change checklist and next update block.</t>
        </is>
      </c>
    </row>
    <row r="6" ht="26.39999961853027" customHeight="1" s="30">
      <c r="A6" s="27" t="inlineStr">
        <is>
          <t>Resource Recovery / Grant Readiness</t>
        </is>
      </c>
      <c r="B6" s="27" t="inlineStr">
        <is>
          <t>GRANT</t>
        </is>
      </c>
      <c r="C6" s="27" t="inlineStr">
        <is>
          <t>Opportunity / Program / Project Corridor</t>
        </is>
      </c>
      <c r="D6" s="27" t="inlineStr">
        <is>
          <t>Turn a funding opportunity into a readiness record before submission or partner review.</t>
        </is>
      </c>
      <c r="E6" s="27" t="inlineStr">
        <is>
          <t>NOFO/opportunity exists; partners/sites/entities are being assembled; budget/timeline/narrative needed; decision gates matter.</t>
        </is>
      </c>
      <c r="F6" s="27" t="inlineStr">
        <is>
          <t>Who is applicant? What authority exists? What match/source commitments exist? Which claims are evidence-backed? Which partners must sign?</t>
        </is>
      </c>
      <c r="G6" s="27" t="inlineStr">
        <is>
          <t>NOFO; site facts; partner letters; budget; timeline; eligibility proof; risk/missing-items register.</t>
        </is>
      </c>
      <c r="H6" s="27" t="inlineStr">
        <is>
          <t>Open Grant Readiness CaseSpace; create eligibility/match/document map; produce go/no-go and submission readiness checklist.</t>
        </is>
      </c>
    </row>
    <row r="7" ht="39.59999847412109" customHeight="1" s="30">
      <c r="A7" s="27" t="inlineStr">
        <is>
          <t>Kendall Pond Maintenance / Turnover</t>
        </is>
      </c>
      <c r="B7" s="27" t="inlineStr">
        <is>
          <t>STAY</t>
        </is>
      </c>
      <c r="C7" s="27" t="inlineStr">
        <is>
          <t>Kendall Pond Lodge Property</t>
        </is>
      </c>
      <c r="D7" s="27" t="inlineStr">
        <is>
          <t>Keep property operations usable when guest stays, cleaning, maintenance, and vendor issues overlap.</t>
        </is>
      </c>
      <c r="E7" s="27" t="inlineStr">
        <is>
          <t>Property has bookings, cleaners, hot tub/pump/maintenance issues, guest expectations, receipts, and owner decisions.</t>
        </is>
      </c>
      <c r="F7" s="27" t="inlineStr">
        <is>
          <t>What changed since last turnover? What is safety/comfort-critical? What vendor action is required? What proof photos/receipts exist?</t>
        </is>
      </c>
      <c r="G7" s="27" t="inlineStr">
        <is>
          <t>Booking dates; cleaner notes; maintenance photos; vendor quote/receipt; guest messages; owner decision notes.</t>
        </is>
      </c>
      <c r="H7" s="27" t="inlineStr">
        <is>
          <t>Open STAY Property Memory child CaseSpace; track issue → vendor → proof → closeout; seal into property parent so the lodge remembers.</t>
        </is>
      </c>
    </row>
    <row r="8" ht="15" customHeight="1" s="30">
      <c r="A8" s="27" t="n"/>
      <c r="B8" s="27" t="n"/>
      <c r="C8" s="27" t="n"/>
      <c r="D8" s="27" t="n"/>
      <c r="E8" s="27" t="n"/>
      <c r="F8" s="27" t="n"/>
      <c r="G8" s="27" t="n"/>
      <c r="H8" s="27" t="n"/>
    </row>
    <row r="9" ht="26.39999961853027" customHeight="1" s="30">
      <c r="A9" s="27" t="inlineStr">
        <is>
          <t>Path Sheet Fields</t>
        </is>
      </c>
      <c r="B9" s="27" t="inlineStr">
        <is>
          <t>Use in every example</t>
        </is>
      </c>
      <c r="C9" s="27" t="n"/>
      <c r="D9" s="27" t="n"/>
      <c r="E9" s="27" t="n"/>
      <c r="F9" s="27" t="n"/>
      <c r="G9" s="27" t="n"/>
      <c r="H9" s="27" t="n"/>
    </row>
    <row r="10" ht="39.59999847412109" customHeight="1" s="30">
      <c r="A10" s="46" t="inlineStr">
        <is>
          <t>Desired Outcome</t>
        </is>
      </c>
      <c r="B10" s="46" t="inlineStr">
        <is>
          <t>What are we trying to get done?</t>
        </is>
      </c>
      <c r="C10" s="46" t="n"/>
      <c r="D10" s="46" t="n"/>
      <c r="E10" s="46" t="n"/>
      <c r="F10" s="46" t="n"/>
      <c r="G10" s="46" t="n"/>
      <c r="H10" s="46" t="n"/>
    </row>
    <row r="11" ht="26.39999961853027" customHeight="1" s="30">
      <c r="A11" s="27" t="inlineStr">
        <is>
          <t>Known Facts</t>
        </is>
      </c>
      <c r="B11" s="27" t="inlineStr">
        <is>
          <t>What is true now?</t>
        </is>
      </c>
      <c r="C11" s="27" t="n"/>
      <c r="D11" s="27" t="n"/>
      <c r="E11" s="27" t="n"/>
      <c r="F11" s="27" t="n"/>
      <c r="G11" s="27" t="n"/>
      <c r="H11" s="27" t="n"/>
    </row>
    <row r="12" ht="39.59999847412109" customHeight="1" s="30">
      <c r="A12" s="27" t="inlineStr">
        <is>
          <t>Missing Facts</t>
        </is>
      </c>
      <c r="B12" s="27" t="inlineStr">
        <is>
          <t>What must be known before movement?</t>
        </is>
      </c>
      <c r="C12" s="27" t="n"/>
      <c r="D12" s="27" t="n"/>
      <c r="E12" s="27" t="n"/>
      <c r="F12" s="27" t="n"/>
      <c r="G12" s="27" t="n"/>
      <c r="H12" s="27" t="n"/>
    </row>
    <row r="13" ht="52.79999923706055" customHeight="1" s="30">
      <c r="A13" s="27" t="inlineStr">
        <is>
          <t>Needed Documents</t>
        </is>
      </c>
      <c r="B13" s="27" t="inlineStr">
        <is>
          <t>What proof/documents are needed?</t>
        </is>
      </c>
      <c r="C13" s="27" t="n"/>
      <c r="D13" s="27" t="n"/>
      <c r="E13" s="27" t="n"/>
      <c r="F13" s="27" t="n"/>
      <c r="G13" s="27" t="n"/>
      <c r="H13" s="27" t="n"/>
    </row>
    <row r="14" ht="52.79999923706055" customHeight="1" s="30">
      <c r="A14" s="27" t="inlineStr">
        <is>
          <t>Authority / Rule Questions</t>
        </is>
      </c>
      <c r="B14" s="27" t="inlineStr">
        <is>
          <t>Who can decide and what rules apply?</t>
        </is>
      </c>
      <c r="C14" s="27" t="n"/>
      <c r="D14" s="27" t="n"/>
      <c r="E14" s="27" t="n"/>
      <c r="F14" s="27" t="n"/>
      <c r="G14" s="27" t="n"/>
      <c r="H14" s="27" t="n"/>
    </row>
    <row r="15" ht="52.79999923706055" customHeight="1" s="30">
      <c r="A15" s="27" t="inlineStr">
        <is>
          <t>Risks</t>
        </is>
      </c>
      <c r="B15" s="27" t="inlineStr">
        <is>
          <t>What can break, delay, or mislead the work?</t>
        </is>
      </c>
      <c r="C15" s="27" t="n"/>
      <c r="D15" s="27" t="n"/>
      <c r="E15" s="27" t="n"/>
      <c r="F15" s="27" t="n"/>
      <c r="G15" s="27" t="n"/>
      <c r="H15" s="27" t="n"/>
    </row>
    <row r="16" ht="26.39999961853027" customHeight="1" s="30">
      <c r="A16" s="27" t="inlineStr">
        <is>
          <t>Bridge Rating</t>
        </is>
      </c>
      <c r="B16" s="27" t="inlineStr">
        <is>
          <t>Low / Medium / High / Critical</t>
        </is>
      </c>
      <c r="C16" s="27" t="n"/>
      <c r="D16" s="27" t="n"/>
      <c r="E16" s="27" t="n"/>
      <c r="F16" s="27" t="n"/>
      <c r="G16" s="27" t="n"/>
      <c r="H16" s="27" t="n"/>
    </row>
    <row r="17" ht="26.39999961853027" customHeight="1" s="30">
      <c r="A17" s="27" t="inlineStr">
        <is>
          <t>Recommended Next Step</t>
        </is>
      </c>
      <c r="B17" s="27" t="inlineStr">
        <is>
          <t>What happens next?</t>
        </is>
      </c>
      <c r="C17" s="27" t="n"/>
      <c r="D17" s="27" t="n"/>
      <c r="E17" s="27" t="n"/>
      <c r="F17" s="27" t="n"/>
      <c r="G17" s="27" t="n"/>
      <c r="H17" s="27" t="n"/>
    </row>
    <row r="18" ht="66" customHeight="1" s="30">
      <c r="A18" s="27" t="inlineStr">
        <is>
          <t>CaseSpace Seed</t>
        </is>
      </c>
      <c r="B18" s="27" t="inlineStr">
        <is>
          <t>Standing parent + closing children + first next steps</t>
        </is>
      </c>
      <c r="C18" s="27" t="n"/>
      <c r="D18" s="27" t="n"/>
      <c r="E18" s="27" t="n"/>
      <c r="F18" s="27" t="n"/>
      <c r="G18" s="27" t="n"/>
      <c r="H18" s="27" t="n"/>
    </row>
  </sheetData>
  <mergeCells count="2">
    <mergeCell ref="A2:H2"/>
    <mergeCell ref="A1:H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style="30" min="1" max="1"/>
    <col width="50" customWidth="1" style="30" min="2" max="2"/>
    <col width="50" customWidth="1" style="30" min="3" max="3"/>
    <col width="50" customWidth="1" style="30" min="4" max="4"/>
    <col width="18" customWidth="1" style="30" min="5" max="5"/>
    <col width="52" customWidth="1" style="30" min="6" max="6"/>
  </cols>
  <sheetData>
    <row r="1" ht="67.19999694824219" customHeight="1" s="30">
      <c r="A1" s="51" t="inlineStr">
        <is>
          <t>Encroachment Watchlist — What Would Actually Threaten PJ</t>
        </is>
      </c>
      <c r="B1" s="1" t="n"/>
      <c r="C1" s="1" t="n"/>
      <c r="D1" s="1" t="n"/>
      <c r="E1" s="1" t="n"/>
      <c r="F1" s="1" t="n"/>
    </row>
    <row r="2" ht="84" customHeight="1" s="30">
      <c r="A2" s="52" t="inlineStr">
        <is>
          <t>Track language and product moves that weaken PublicLogic's contrast. Escalate only when a competitor starts adopting the primitive/non-replacement/stewardship combination.</t>
        </is>
      </c>
      <c r="B2" s="1" t="n"/>
      <c r="C2" s="1" t="n"/>
      <c r="D2" s="1" t="n"/>
      <c r="E2" s="1" t="n"/>
      <c r="F2" s="1" t="n"/>
    </row>
    <row r="3" ht="15" customHeight="1" s="30"/>
    <row r="4" ht="15" customHeight="1" s="30">
      <c r="A4" s="43" t="inlineStr">
        <is>
          <t>Entity</t>
        </is>
      </c>
      <c r="B4" s="43" t="inlineStr">
        <is>
          <t>Current Position</t>
        </is>
      </c>
      <c r="C4" s="43" t="inlineStr">
        <is>
          <t>Trigger to Escalate</t>
        </is>
      </c>
      <c r="D4" s="43" t="inlineStr">
        <is>
          <t>Why It Matters</t>
        </is>
      </c>
      <c r="E4" s="43" t="inlineStr">
        <is>
          <t>Current Rating</t>
        </is>
      </c>
      <c r="F4" s="43" t="inlineStr">
        <is>
          <t>Response</t>
        </is>
      </c>
    </row>
    <row r="5" ht="39.59999847412109" customHeight="1" s="30">
      <c r="A5" s="27" t="inlineStr">
        <is>
          <t>Polimorphic</t>
        </is>
      </c>
      <c r="B5" s="27" t="inlineStr">
        <is>
          <t>Resident-service/front-door platform with CRM, case management, voice/chat/search, institutional knowledge and immutable audit-trail language</t>
        </is>
      </c>
      <c r="C5" s="27" t="inlineStr">
        <is>
          <t>Adds explicit cross-domain nesting or says it sits beside systems rather than becoming a modern system of record</t>
        </is>
      </c>
      <c r="D5" s="27" t="inlineStr">
        <is>
          <t>Would weaken PJ's non-replacement contrast and continuity distinction</t>
        </is>
      </c>
      <c r="E5" s="27" t="inlineStr">
        <is>
          <t>High narrative threat</t>
        </is>
      </c>
      <c r="F5" s="27" t="inlineStr">
        <is>
          <t>Lead with standing/closing primitive, seal-upward, partner-safe readiness/stewardship</t>
        </is>
      </c>
    </row>
    <row r="6" ht="26.39999961853027" customHeight="1" s="30">
      <c r="A6" s="27" t="inlineStr">
        <is>
          <t>GovWell</t>
        </is>
      </c>
      <c r="B6" s="27" t="inlineStr">
        <is>
          <t>AI OS for modern government, permitting/licensing/community-development platform</t>
        </is>
      </c>
      <c r="C6" s="27" t="inlineStr">
        <is>
          <t>Expands from permitting/licensing into broader cross-system municipal operations and readiness</t>
        </is>
      </c>
      <c r="D6" s="27" t="inlineStr">
        <is>
          <t>Would capture more of the same town-admin budget and implementation mindshare</t>
        </is>
      </c>
      <c r="E6" s="27" t="inlineStr">
        <is>
          <t>High budget threat</t>
        </is>
      </c>
      <c r="F6" s="27" t="inlineStr">
        <is>
          <t>Keep Permit &amp; Bridge as readiness before/beside formal systems</t>
        </is>
      </c>
    </row>
    <row r="7" ht="26.39999961853027" customHeight="1" s="30">
      <c r="A7" s="27" t="inlineStr">
        <is>
          <t>Granicus</t>
        </is>
      </c>
      <c r="B7" s="27" t="inlineStr">
        <is>
          <t>Government experience, resident engagement, AI agent, digital services, records/public service tooling</t>
        </is>
      </c>
      <c r="C7" s="27" t="inlineStr">
        <is>
          <t>Markets cross-system records rollup, institutional memory, or readiness layer beyond service interactions</t>
        </is>
      </c>
      <c r="D7" s="27" t="inlineStr">
        <is>
          <t>Would muddy the message and bundle proof/records into resident-service suite</t>
        </is>
      </c>
      <c r="E7" s="27" t="inlineStr">
        <is>
          <t>Low now / Medium-rising</t>
        </is>
      </c>
      <c r="F7" s="27" t="inlineStr">
        <is>
          <t>Explain PJ as portable CaseSpace layer, not resident engagement</t>
        </is>
      </c>
    </row>
    <row r="8" ht="26.39999961853027" customHeight="1" s="30">
      <c r="A8" s="27" t="inlineStr">
        <is>
          <t>OpenGov</t>
        </is>
      </c>
      <c r="B8" s="27" t="inlineStr">
        <is>
          <t>ERP, budgeting, permitting, procurement, grants, asset/tax/revenue, AI/no-code logic layer expansion</t>
        </is>
      </c>
      <c r="C8" s="27" t="inlineStr">
        <is>
          <t>Markets an AI logic layer or cross-domain work/record layer across its suite</t>
        </is>
      </c>
      <c r="D8" s="27" t="inlineStr">
        <is>
          <t>Would create buyer sense that the big platform already handles the work layer</t>
        </is>
      </c>
      <c r="E8" s="27" t="inlineStr">
        <is>
          <t>Low now / Medium-rising</t>
        </is>
      </c>
      <c r="F8" s="27" t="inlineStr">
        <is>
          <t>Stay add-on layer below replacement threshold</t>
        </is>
      </c>
    </row>
    <row r="9" ht="26.39999961853027" customHeight="1" s="30">
      <c r="A9" s="27" t="inlineStr">
        <is>
          <t>Tyler</t>
        </is>
      </c>
      <c r="B9" s="27" t="inlineStr">
        <is>
          <t>Dominant public-sector systems of record; courts/permitting/ERP; AI integration</t>
        </is>
      </c>
      <c r="C9" s="27" t="inlineStr">
        <is>
          <t>Embeds agentic records/readiness features across permitting/licensing/courts and connects them as one rollup</t>
        </is>
      </c>
      <c r="D9" s="27" t="inlineStr">
        <is>
          <t>Would make large accounts less open to add-on proof layers</t>
        </is>
      </c>
      <c r="E9" s="27" t="inlineStr">
        <is>
          <t>Low now / Medium-rising</t>
        </is>
      </c>
      <c r="F9" s="27" t="inlineStr">
        <is>
          <t>Target small/mid messy work and partner surfaces</t>
        </is>
      </c>
    </row>
    <row r="10" ht="26.39999961853027" customHeight="1" s="30">
      <c r="A10" s="27" t="inlineStr">
        <is>
          <t>Tonkean / Coupa</t>
        </is>
      </c>
      <c r="B10" s="27" t="inlineStr">
        <is>
          <t>Enterprise intake/orchestration inside procurement/spend workflows</t>
        </is>
      </c>
      <c r="C10" s="27" t="inlineStr">
        <is>
          <t>Moves into public-sector shared services or municipal procurement readiness</t>
        </is>
      </c>
      <c r="D10" s="27" t="inlineStr">
        <is>
          <t>Currently not chasing PJ's buyers, but philosophical cousin</t>
        </is>
      </c>
      <c r="E10" s="27" t="inlineStr">
        <is>
          <t>Strategic watch</t>
        </is>
      </c>
      <c r="F10" s="27" t="inlineStr">
        <is>
          <t>Learn from orchestration language; avoid enterprise procurement lane</t>
        </is>
      </c>
    </row>
    <row r="11" ht="26.39999961853027" customHeight="1" s="30">
      <c r="A11" s="27" t="inlineStr">
        <is>
          <t>BRYTER / Checkbox</t>
        </is>
      </c>
      <c r="B11" s="27" t="inlineStr">
        <is>
          <t>Legal/compliance front door, matter management, workflow automation</t>
        </is>
      </c>
      <c r="C11" s="27" t="inlineStr">
        <is>
          <t>Moves downmarket into non-lawyer operational readiness libraries</t>
        </is>
      </c>
      <c r="D11" s="27" t="inlineStr">
        <is>
          <t>Could confuse law-aware template language with legal automation</t>
        </is>
      </c>
      <c r="E11" s="27" t="inlineStr">
        <is>
          <t>Medium linguistic threat</t>
        </is>
      </c>
      <c r="F11" s="27" t="inlineStr">
        <is>
          <t>Counsel-ready/no-determination fence</t>
        </is>
      </c>
    </row>
    <row r="12" ht="26.39999961853027" customHeight="1" s="30">
      <c r="A12" s="27" t="inlineStr">
        <is>
          <t>Airtable / Kissflow / Knack</t>
        </is>
      </c>
      <c r="B12" s="27" t="inlineStr">
        <is>
          <t>Generic no-code/AI workflow builders</t>
        </is>
      </c>
      <c r="C12" s="27" t="inlineStr">
        <is>
          <t>Consultancies package governed templates and sell them into towns/properties/grants</t>
        </is>
      </c>
      <c r="D12" s="27" t="inlineStr">
        <is>
          <t>DIY substitute becomes packaged services competitor</t>
        </is>
      </c>
      <c r="E12" s="27" t="inlineStr">
        <is>
          <t>Medium substitute</t>
        </is>
      </c>
      <c r="F12" s="27" t="inlineStr">
        <is>
          <t>Sell maintained library + stewardship, not empty tool</t>
        </is>
      </c>
    </row>
    <row r="13" ht="26.39999961853027" customHeight="1" s="30">
      <c r="A13" s="27" t="inlineStr">
        <is>
          <t>STR PMS Platforms</t>
        </is>
      </c>
      <c r="B13" s="27" t="inlineStr">
        <is>
          <t>Bookings/channel/guest messaging/revenue ops</t>
        </is>
      </c>
      <c r="C13" s="27" t="inlineStr">
        <is>
          <t>Adds serious incident/maintenance/vendor proof and owner-continuity layer</t>
        </is>
      </c>
      <c r="D13" s="27" t="inlineStr">
        <is>
          <t>Would reduce STAY's white space</t>
        </is>
      </c>
      <c r="E13" s="27" t="inlineStr">
        <is>
          <t>Low</t>
        </is>
      </c>
      <c r="F13" s="27" t="inlineStr">
        <is>
          <t>Keep STAY as property memory, not PMS</t>
        </is>
      </c>
    </row>
  </sheetData>
  <mergeCells count="2">
    <mergeCell ref="A2:F2"/>
    <mergeCell ref="A1:F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2" customWidth="1" style="30" min="1" max="1"/>
    <col width="20" customWidth="1" style="30" min="2" max="2"/>
    <col width="68" customWidth="1" style="30" min="3" max="3"/>
    <col width="110" customWidth="1" style="30" min="4" max="4"/>
    <col width="18" customWidth="1" style="30" min="5" max="5"/>
  </cols>
  <sheetData>
    <row r="1" ht="84" customHeight="1" s="30">
      <c r="A1" s="51" t="inlineStr">
        <is>
          <t>Source Register — Public Competitive Inputs</t>
        </is>
      </c>
      <c r="B1" s="1" t="n"/>
      <c r="C1" s="1" t="n"/>
      <c r="D1" s="1" t="n"/>
      <c r="E1" s="1" t="n"/>
    </row>
    <row r="2" ht="108" customHeight="1" s="30">
      <c r="A2" s="52" t="inlineStr">
        <is>
          <t>Plain-text public URLs used to ground the competitive pressure-test. These are not NDA or private partner materials.</t>
        </is>
      </c>
      <c r="B2" s="1" t="n"/>
      <c r="C2" s="1" t="n"/>
      <c r="D2" s="1" t="n"/>
      <c r="E2" s="1" t="n"/>
    </row>
    <row r="3" ht="15" customHeight="1" s="30"/>
    <row r="4" ht="15" customHeight="1" s="30">
      <c r="A4" s="43" t="inlineStr">
        <is>
          <t>ID</t>
        </is>
      </c>
      <c r="B4" s="43" t="inlineStr">
        <is>
          <t>Entity</t>
        </is>
      </c>
      <c r="C4" s="43" t="inlineStr">
        <is>
          <t>Fact / Use</t>
        </is>
      </c>
      <c r="D4" s="43" t="inlineStr">
        <is>
          <t>URL</t>
        </is>
      </c>
      <c r="E4" s="43" t="inlineStr">
        <is>
          <t>Last Checked</t>
        </is>
      </c>
    </row>
    <row r="5" ht="26.39999961853027" customHeight="1" s="30">
      <c r="A5" s="27" t="inlineStr">
        <is>
          <t>SRC-001</t>
        </is>
      </c>
      <c r="B5" s="27" t="inlineStr">
        <is>
          <t>Polimorphic</t>
        </is>
      </c>
      <c r="C5" s="27" t="inlineStr">
        <is>
          <t>Platform positioning: complete AI platform for government services; intake to resolution; audit logging language.</t>
        </is>
      </c>
      <c r="D5" s="27" t="inlineStr">
        <is>
          <t>https://www.polimorphic.com/platform</t>
        </is>
      </c>
      <c r="E5" s="27" t="inlineStr">
        <is>
          <t>2026-06-26</t>
        </is>
      </c>
    </row>
    <row r="6" ht="15" customHeight="1" s="30">
      <c r="A6" s="27" t="inlineStr">
        <is>
          <t>SRC-002</t>
        </is>
      </c>
      <c r="B6" s="27" t="inlineStr">
        <is>
          <t>Polimorphic</t>
        </is>
      </c>
      <c r="C6" s="27" t="inlineStr">
        <is>
          <t>General home page positioning for government services.</t>
        </is>
      </c>
      <c r="D6" s="27" t="inlineStr">
        <is>
          <t>https://www.polimorphic.com/</t>
        </is>
      </c>
      <c r="E6" s="27" t="inlineStr">
        <is>
          <t>2026-06-26</t>
        </is>
      </c>
    </row>
    <row r="7" ht="15" customHeight="1" s="30">
      <c r="A7" s="27" t="inlineStr">
        <is>
          <t>SRC-003</t>
        </is>
      </c>
      <c r="B7" s="27" t="inlineStr">
        <is>
          <t>Polimorphic</t>
        </is>
      </c>
      <c r="C7" s="27" t="inlineStr">
        <is>
          <t>Institutional knowledge public eBook / positioning.</t>
        </is>
      </c>
      <c r="D7" s="27" t="inlineStr">
        <is>
          <t>https://www.polimorphic.com/ebooks/institutional-knowledge-is-walking-out-the-door</t>
        </is>
      </c>
      <c r="E7" s="27" t="inlineStr">
        <is>
          <t>2026-06-26</t>
        </is>
      </c>
    </row>
    <row r="8" ht="26.39999961853027" customHeight="1" s="30">
      <c r="A8" s="27" t="inlineStr">
        <is>
          <t>SRC-004</t>
        </is>
      </c>
      <c r="B8" s="27" t="inlineStr">
        <is>
          <t>GovWell</t>
        </is>
      </c>
      <c r="C8" s="27" t="inlineStr">
        <is>
          <t>Official Series A announcement: $25M Series A / AI operating system for modern government.</t>
        </is>
      </c>
      <c r="D8" s="27" t="inlineStr">
        <is>
          <t>https://govwell.com/resources/govwell-series-a</t>
        </is>
      </c>
      <c r="E8" s="27" t="inlineStr">
        <is>
          <t>2026-06-26</t>
        </is>
      </c>
    </row>
    <row r="9" ht="26.39999961853027" customHeight="1" s="30">
      <c r="A9" s="27" t="inlineStr">
        <is>
          <t>SRC-005</t>
        </is>
      </c>
      <c r="B9" s="27" t="inlineStr">
        <is>
          <t>Insight Partners</t>
        </is>
      </c>
      <c r="C9" s="27" t="inlineStr">
        <is>
          <t>GovWell Series A release from lead investor.</t>
        </is>
      </c>
      <c r="D9" s="27" t="inlineStr">
        <is>
          <t>https://www.insightpartners.com/ideas/govwell-raises-25m-series-a-led-by-insight-partners-to-build-the-ai-operating-system-for-modern-government/</t>
        </is>
      </c>
      <c r="E9" s="27" t="inlineStr">
        <is>
          <t>2026-06-26</t>
        </is>
      </c>
    </row>
    <row r="10" ht="15" customHeight="1" s="30">
      <c r="A10" s="27" t="inlineStr">
        <is>
          <t>SRC-006</t>
        </is>
      </c>
      <c r="B10" s="27" t="inlineStr">
        <is>
          <t>Coupa</t>
        </is>
      </c>
      <c r="C10" s="27" t="inlineStr">
        <is>
          <t>Coupa acquisition of Tonkean for agentic intake and orchestration.</t>
        </is>
      </c>
      <c r="D10" s="27" t="inlineStr">
        <is>
          <t>https://www.coupa.com/newsroom/coupa-acquires-tonkean-to-accelerate-agentic-intake-and-orchestration-for-global-trade/</t>
        </is>
      </c>
      <c r="E10" s="27" t="inlineStr">
        <is>
          <t>2026-06-26</t>
        </is>
      </c>
    </row>
    <row r="11" ht="15" customHeight="1" s="30">
      <c r="A11" s="27" t="inlineStr">
        <is>
          <t>SRC-007</t>
        </is>
      </c>
      <c r="B11" s="27" t="inlineStr">
        <is>
          <t>Granicus</t>
        </is>
      </c>
      <c r="C11" s="27" t="inlineStr">
        <is>
          <t>Government Experience Agent public-sector AI self-service positioning.</t>
        </is>
      </c>
      <c r="D11" s="27" t="inlineStr">
        <is>
          <t>https://granicus.com/gxa/</t>
        </is>
      </c>
      <c r="E11" s="27" t="inlineStr">
        <is>
          <t>2026-06-26</t>
        </is>
      </c>
    </row>
    <row r="12" ht="26.39999961853027" customHeight="1" s="30">
      <c r="A12" s="27" t="inlineStr">
        <is>
          <t>SRC-008</t>
        </is>
      </c>
      <c r="B12" s="27" t="inlineStr">
        <is>
          <t>Granicus</t>
        </is>
      </c>
      <c r="C12" s="27" t="inlineStr">
        <is>
          <t>January 2026 update on AI agents and expanded Government Experience Agent capabilities.</t>
        </is>
      </c>
      <c r="D12" s="27" t="inlineStr">
        <is>
          <t>https://granicus.com/blog/granicus-january-2026-semiannual-update-ai-agents-and-federal-cloud-solutions/</t>
        </is>
      </c>
      <c r="E12" s="27" t="inlineStr">
        <is>
          <t>2026-06-26</t>
        </is>
      </c>
    </row>
    <row r="13" ht="26.39999961853027" customHeight="1" s="30">
      <c r="A13" s="27" t="inlineStr">
        <is>
          <t>SRC-009</t>
        </is>
      </c>
      <c r="B13" s="27" t="inlineStr">
        <is>
          <t>Tyler Technologies</t>
        </is>
      </c>
      <c r="C13" s="27" t="inlineStr">
        <is>
          <t>Investor release mentioning For The Record acquisition agreement and judicial intelligence.</t>
        </is>
      </c>
      <c r="D13" s="27" t="inlineStr">
        <is>
          <t>https://investors.tylertech.com/news/news-details/2026/March-2026-Investor-News/default.aspx</t>
        </is>
      </c>
      <c r="E13" s="27" t="inlineStr">
        <is>
          <t>2026-06-26</t>
        </is>
      </c>
    </row>
    <row r="14" ht="26.39999961853027" customHeight="1" s="30">
      <c r="A14" s="27" t="inlineStr">
        <is>
          <t>SRC-010</t>
        </is>
      </c>
      <c r="B14" s="27" t="inlineStr">
        <is>
          <t>Tyler Technologies / Yahoo Finance</t>
        </is>
      </c>
      <c r="C14" s="27" t="inlineStr">
        <is>
          <t>Completion of For The Record acquisition on April 14, 2026.</t>
        </is>
      </c>
      <c r="D14" s="27" t="inlineStr">
        <is>
          <t>https://finance.yahoo.com/markets/stocks/articles/tyler-technologies-completes-acquisition-record-144700050.html</t>
        </is>
      </c>
      <c r="E14" s="27" t="inlineStr">
        <is>
          <t>2026-06-26</t>
        </is>
      </c>
    </row>
  </sheetData>
  <mergeCells count="2">
    <mergeCell ref="A2:E2"/>
    <mergeCell ref="A1:E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style="30" min="1" max="1"/>
    <col width="18" customWidth="1" style="30" min="2" max="2"/>
    <col width="12" customWidth="1" style="30" min="3" max="3"/>
    <col width="52" customWidth="1" style="30" min="4" max="4"/>
    <col width="26" customWidth="1" style="30" min="5" max="5"/>
    <col width="30" customWidth="1" style="30" min="6" max="6"/>
  </cols>
  <sheetData>
    <row r="1">
      <c r="A1" s="51" t="inlineStr">
        <is>
          <t>Split-Row Combos - Consonant Tools x Vowel Templates</t>
        </is>
      </c>
      <c r="B1" s="1" t="n"/>
      <c r="C1" s="1" t="n"/>
      <c r="D1" s="1" t="n"/>
      <c r="E1" s="1" t="n"/>
      <c r="F1" s="1" t="n"/>
    </row>
    <row r="2">
      <c r="A2" s="52" t="inlineStr">
        <is>
          <t>Tools are the invariant runtime (consonant row); templates and their industry skins are the overlay (vowel row). Every offering is one tool interlocked with one template. A combo that is not declared is not allowed to execute. Free = first-pass Path Sheet only; everything past first pass is paid.</t>
        </is>
      </c>
      <c r="B2" s="1" t="n"/>
      <c r="C2" s="1" t="n"/>
      <c r="D2" s="1" t="n"/>
      <c r="E2" s="1" t="n"/>
      <c r="F2" s="1" t="n"/>
    </row>
    <row r="4">
      <c r="A4" s="38" t="inlineStr">
        <is>
          <t>Building Block</t>
        </is>
      </c>
      <c r="B4" s="38" t="inlineStr">
        <is>
          <t>Type</t>
        </is>
      </c>
      <c r="C4" s="38" t="inlineStr">
        <is>
          <t>Row</t>
        </is>
      </c>
      <c r="D4" s="38" t="inlineStr">
        <is>
          <t>What it does</t>
        </is>
      </c>
      <c r="E4" s="38" t="inlineStr">
        <is>
          <t>Free / Paid</t>
        </is>
      </c>
      <c r="F4" s="38" t="inlineStr">
        <is>
          <t>Interlocks with</t>
        </is>
      </c>
    </row>
    <row r="5">
      <c r="A5" s="27" t="inlineStr">
        <is>
          <t>Path Sheet Generator</t>
        </is>
      </c>
      <c r="B5" s="27" t="inlineStr">
        <is>
          <t>Tool</t>
        </is>
      </c>
      <c r="C5" s="27" t="inlineStr">
        <is>
          <t>Consonant</t>
        </is>
      </c>
      <c r="D5" s="27" t="inlineStr">
        <is>
          <t>Turns messy intake into a first-pass Path Sheet, bridge rating, and CaseSpace seed</t>
        </is>
      </c>
      <c r="E5" s="27" t="inlineStr">
        <is>
          <t>FREE (first-pass); Paid inside a CaseSpace</t>
        </is>
      </c>
      <c r="F5" s="27" t="inlineStr">
        <is>
          <t>Every template</t>
        </is>
      </c>
    </row>
    <row r="6">
      <c r="A6" s="27" t="inlineStr">
        <is>
          <t>Door Seeder</t>
        </is>
      </c>
      <c r="B6" s="27" t="inlineStr">
        <is>
          <t>Tool</t>
        </is>
      </c>
      <c r="C6" s="27" t="inlineStr">
        <is>
          <t>Consonant</t>
        </is>
      </c>
      <c r="D6" s="27" t="inlineStr">
        <is>
          <t>Creates a standing/closing CaseSpace seed from any chosen template</t>
        </is>
      </c>
      <c r="E6" s="27" t="inlineStr">
        <is>
          <t>Paid</t>
        </is>
      </c>
      <c r="F6" s="27" t="inlineStr">
        <is>
          <t>Every template</t>
        </is>
      </c>
    </row>
    <row r="7">
      <c r="A7" s="27" t="inlineStr">
        <is>
          <t>CaseSpace + Seal-Upward Closeout</t>
        </is>
      </c>
      <c r="B7" s="27" t="inlineStr">
        <is>
          <t>Tool</t>
        </is>
      </c>
      <c r="C7" s="27" t="inlineStr">
        <is>
          <t>Consonant</t>
        </is>
      </c>
      <c r="D7" s="27" t="inlineStr">
        <is>
          <t>Opens the record, closes children, seals proof into the standing parent</t>
        </is>
      </c>
      <c r="E7" s="27" t="inlineStr">
        <is>
          <t>Paid</t>
        </is>
      </c>
      <c r="F7" s="27" t="inlineStr">
        <is>
          <t>Every template</t>
        </is>
      </c>
    </row>
    <row r="8">
      <c r="A8" s="27" t="inlineStr">
        <is>
          <t>Bridge / Readiness Scorer</t>
        </is>
      </c>
      <c r="B8" s="27" t="inlineStr">
        <is>
          <t>Tool</t>
        </is>
      </c>
      <c r="C8" s="27" t="inlineStr">
        <is>
          <t>Consonant</t>
        </is>
      </c>
      <c r="D8" s="27" t="inlineStr">
        <is>
          <t>Scores systems + re-entry + people + risk + missing proof</t>
        </is>
      </c>
      <c r="E8" s="27" t="inlineStr">
        <is>
          <t>FREE at first-pass; Paid live</t>
        </is>
      </c>
      <c r="F8" s="27" t="inlineStr">
        <is>
          <t>Every template</t>
        </is>
      </c>
    </row>
    <row r="9">
      <c r="A9" s="27" t="inlineStr">
        <is>
          <t>Permit &amp; Bridge Lane Picker</t>
        </is>
      </c>
      <c r="B9" s="27" t="inlineStr">
        <is>
          <t>Tool</t>
        </is>
      </c>
      <c r="C9" s="27" t="inlineStr">
        <is>
          <t>Consonant</t>
        </is>
      </c>
      <c r="D9" s="27" t="inlineStr">
        <is>
          <t>Plain-English readiness lanes, each ending in a decision or deferral</t>
        </is>
      </c>
      <c r="E9" s="27" t="inlineStr">
        <is>
          <t>Paid</t>
        </is>
      </c>
      <c r="F9" s="27" t="inlineStr">
        <is>
          <t>Permit &amp; Bridge (MUNI)</t>
        </is>
      </c>
    </row>
    <row r="10">
      <c r="A10" s="27" t="inlineStr">
        <is>
          <t>Dashboards (Client / Operator / Proof / Bridge / Stewardship)</t>
        </is>
      </c>
      <c r="B10" s="27" t="inlineStr">
        <is>
          <t>Tool</t>
        </is>
      </c>
      <c r="C10" s="27" t="inlineStr">
        <is>
          <t>Consonant</t>
        </is>
      </c>
      <c r="D10" s="27" t="inlineStr">
        <is>
          <t>Views over CaseSpace state; never a separate record</t>
        </is>
      </c>
      <c r="E10" s="27" t="inlineStr">
        <is>
          <t>Paid</t>
        </is>
      </c>
      <c r="F10" s="27" t="inlineStr">
        <is>
          <t>Every template</t>
        </is>
      </c>
    </row>
    <row r="11">
      <c r="A11" s="27" t="inlineStr">
        <is>
          <t>Weekly Update Generator</t>
        </is>
      </c>
      <c r="B11" s="27" t="inlineStr">
        <is>
          <t>Tool</t>
        </is>
      </c>
      <c r="C11" s="27" t="inlineStr">
        <is>
          <t>Consonant</t>
        </is>
      </c>
      <c r="D11" s="27" t="inlineStr">
        <is>
          <t>Six-field client update generated from CaseSpace state</t>
        </is>
      </c>
      <c r="E11" s="27" t="inlineStr">
        <is>
          <t>Paid</t>
        </is>
      </c>
      <c r="F11" s="27" t="inlineStr">
        <is>
          <t>Live CaseSpace; all standing</t>
        </is>
      </c>
    </row>
    <row r="12">
      <c r="A12" s="27" t="inlineStr">
        <is>
          <t>Work Pack Installer</t>
        </is>
      </c>
      <c r="B12" s="27" t="inlineStr">
        <is>
          <t>Tool</t>
        </is>
      </c>
      <c r="C12" s="27" t="inlineStr">
        <is>
          <t>Consonant</t>
        </is>
      </c>
      <c r="D12" s="27" t="inlineStr">
        <is>
          <t>Installs parent + children + dashboard + proof rules in one move</t>
        </is>
      </c>
      <c r="E12" s="27" t="inlineStr">
        <is>
          <t>Paid</t>
        </is>
      </c>
      <c r="F12" s="27" t="inlineStr">
        <is>
          <t>Every work pack</t>
        </is>
      </c>
    </row>
    <row r="13">
      <c r="A13" s="27" t="inlineStr">
        <is>
          <t>Posting Desk</t>
        </is>
      </c>
      <c r="B13" s="27" t="inlineStr">
        <is>
          <t>Tool / Information</t>
        </is>
      </c>
      <c r="C13" s="27" t="inlineStr">
        <is>
          <t>Consonant</t>
        </is>
      </c>
      <c r="D13" s="27" t="inlineStr">
        <is>
          <t>Computes Open Meeting Law 48-hour posting deadlines with statutory logic</t>
        </is>
      </c>
      <c r="E13" s="27" t="inlineStr">
        <is>
          <t>Paid / bundled</t>
        </is>
      </c>
      <c r="F13" s="27" t="inlineStr">
        <is>
          <t>Public Records &amp; Board Packet; Policy/SOP (MUNI)</t>
        </is>
      </c>
    </row>
    <row r="14">
      <c r="A14" s="27" t="inlineStr">
        <is>
          <t>Law-aware lane &amp; reference libraries</t>
        </is>
      </c>
      <c r="B14" s="27" t="inlineStr">
        <is>
          <t>Information</t>
        </is>
      </c>
      <c r="C14" s="27" t="inlineStr">
        <is>
          <t>Consonant</t>
        </is>
      </c>
      <c r="D14" s="27" t="inlineStr">
        <is>
          <t>Statute / policy / NOFO references the templates organize around (counsel-ready, no determinations)</t>
        </is>
      </c>
      <c r="E14" s="27" t="inlineStr">
        <is>
          <t>Paid / bundled</t>
        </is>
      </c>
      <c r="F14" s="27" t="inlineStr">
        <is>
          <t>MUNI, GRANT templates</t>
        </is>
      </c>
    </row>
    <row r="15">
      <c r="A15" s="27" t="inlineStr">
        <is>
          <t>S1-001 Path Sheet Entry</t>
        </is>
      </c>
      <c r="B15" s="27" t="inlineStr">
        <is>
          <t>Template</t>
        </is>
      </c>
      <c r="C15" s="27" t="inlineStr">
        <is>
          <t>Vowel</t>
        </is>
      </c>
      <c r="D15" s="27" t="inlineStr">
        <is>
          <t>Triages any matter into a clear path and a recommended next step</t>
        </is>
      </c>
      <c r="E15" s="27" t="inlineStr">
        <is>
          <t>FREE (first-pass)</t>
        </is>
      </c>
      <c r="F15" s="27" t="inlineStr">
        <is>
          <t>Path Sheet Gen; Door Seeder</t>
        </is>
      </c>
    </row>
    <row r="16">
      <c r="A16" s="27" t="inlineStr">
        <is>
          <t>S1-002 Permit &amp; Bridge</t>
        </is>
      </c>
      <c r="B16" s="27" t="inlineStr">
        <is>
          <t>Template</t>
        </is>
      </c>
      <c r="C16" s="27" t="inlineStr">
        <is>
          <t>Vowel</t>
        </is>
      </c>
      <c r="D16" s="27" t="inlineStr">
        <is>
          <t>Municipal readiness lanes before a filing, board, or handoff</t>
        </is>
      </c>
      <c r="E16" s="27" t="inlineStr">
        <is>
          <t>Paid</t>
        </is>
      </c>
      <c r="F16" s="27" t="inlineStr">
        <is>
          <t>Lane Picker; Posting Desk; Dashboards</t>
        </is>
      </c>
    </row>
    <row r="17">
      <c r="A17" s="27" t="inlineStr">
        <is>
          <t>S1-003 Grant Readiness</t>
        </is>
      </c>
      <c r="B17" s="27" t="inlineStr">
        <is>
          <t>Template</t>
        </is>
      </c>
      <c r="C17" s="27" t="inlineStr">
        <is>
          <t>Vowel</t>
        </is>
      </c>
      <c r="D17" s="27" t="inlineStr">
        <is>
          <t>Eligibility -&gt; match -&gt; partner -&gt; budget -&gt; narrative -&gt; submit or no-go</t>
        </is>
      </c>
      <c r="E17" s="27" t="inlineStr">
        <is>
          <t>Paid</t>
        </is>
      </c>
      <c r="F17" s="27" t="inlineStr">
        <is>
          <t>Door Seeder; Bridge Scorer</t>
        </is>
      </c>
    </row>
    <row r="18">
      <c r="A18" s="27" t="inlineStr">
        <is>
          <t>S1-004 Property Memory (STAY)</t>
        </is>
      </c>
      <c r="B18" s="27" t="inlineStr">
        <is>
          <t>Template</t>
        </is>
      </c>
      <c r="C18" s="27" t="inlineStr">
        <is>
          <t>Vowel</t>
        </is>
      </c>
      <c r="D18" s="27" t="inlineStr">
        <is>
          <t>Searchable record of stays, turnovers, maintenance, and receipts</t>
        </is>
      </c>
      <c r="E18" s="27" t="inlineStr">
        <is>
          <t>Paid</t>
        </is>
      </c>
      <c r="F18" s="27" t="inlineStr">
        <is>
          <t>Door Seeder; Maintenance template</t>
        </is>
      </c>
    </row>
    <row r="19">
      <c r="A19" s="27" t="inlineStr">
        <is>
          <t>S1-005 Policy / SOP Stewardship</t>
        </is>
      </c>
      <c r="B19" s="27" t="inlineStr">
        <is>
          <t>Template</t>
        </is>
      </c>
      <c r="C19" s="27" t="inlineStr">
        <is>
          <t>Vowel</t>
        </is>
      </c>
      <c r="D19" s="27" t="inlineStr">
        <is>
          <t>Keeps policies and SOPs in operating memory through staff turnover</t>
        </is>
      </c>
      <c r="E19" s="27" t="inlineStr">
        <is>
          <t>Paid</t>
        </is>
      </c>
      <c r="F19" s="27" t="inlineStr">
        <is>
          <t>Posting Desk; Dashboards</t>
        </is>
      </c>
    </row>
    <row r="20">
      <c r="A20" s="27" t="inlineStr">
        <is>
          <t>S1-006 Quick Review</t>
        </is>
      </c>
      <c r="B20" s="27" t="inlineStr">
        <is>
          <t>Template (Service)</t>
        </is>
      </c>
      <c r="C20" s="27" t="inlineStr">
        <is>
          <t>Vowel</t>
        </is>
      </c>
      <c r="D20" s="27" t="inlineStr">
        <is>
          <t>Prospect to paid review: sharper Path Sheet plus a call summary</t>
        </is>
      </c>
      <c r="E20" s="27" t="inlineStr">
        <is>
          <t>Paid</t>
        </is>
      </c>
      <c r="F20" s="27" t="inlineStr">
        <is>
          <t>Path Sheet Gen</t>
        </is>
      </c>
    </row>
    <row r="21">
      <c r="A21" s="27" t="inlineStr">
        <is>
          <t>S1-007 Bridge Package</t>
        </is>
      </c>
      <c r="B21" s="27" t="inlineStr">
        <is>
          <t>Template (Service)</t>
        </is>
      </c>
      <c r="C21" s="27" t="inlineStr">
        <is>
          <t>Vowel</t>
        </is>
      </c>
      <c r="D21" s="27" t="inlineStr">
        <is>
          <t>Organized readiness packet: docs, correspondence, timeline, parties</t>
        </is>
      </c>
      <c r="E21" s="27" t="inlineStr">
        <is>
          <t>Paid</t>
        </is>
      </c>
      <c r="F21" s="27" t="inlineStr">
        <is>
          <t>Door Seeder; Dashboards</t>
        </is>
      </c>
    </row>
    <row r="22">
      <c r="A22" s="27" t="inlineStr">
        <is>
          <t>S1-008 Live CaseSpace</t>
        </is>
      </c>
      <c r="B22" s="27" t="inlineStr">
        <is>
          <t>Template (Service)</t>
        </is>
      </c>
      <c r="C22" s="27" t="inlineStr">
        <is>
          <t>Vowel</t>
        </is>
      </c>
      <c r="D22" s="27" t="inlineStr">
        <is>
          <t>Ongoing managed work: weekly updates, child cases, decisions</t>
        </is>
      </c>
      <c r="E22" s="27" t="inlineStr">
        <is>
          <t>Paid</t>
        </is>
      </c>
      <c r="F22" s="27" t="inlineStr">
        <is>
          <t>Weekly Update Gen; Dashboards</t>
        </is>
      </c>
    </row>
    <row r="23">
      <c r="A23" s="27" t="inlineStr">
        <is>
          <t>S1-009 Time &amp; Attendance</t>
        </is>
      </c>
      <c r="B23" s="27" t="inlineStr">
        <is>
          <t>Template</t>
        </is>
      </c>
      <c r="C23" s="27" t="inlineStr">
        <is>
          <t>Vowel</t>
        </is>
      </c>
      <c r="D23" s="27" t="inlineStr">
        <is>
          <t>Shifts, timesheets, leave, OT, training, incidents into payroll-ready proof</t>
        </is>
      </c>
      <c r="E23" s="27" t="inlineStr">
        <is>
          <t>Paid</t>
        </is>
      </c>
      <c r="F23" s="27" t="inlineStr">
        <is>
          <t>Door Seeder; approval gates</t>
        </is>
      </c>
    </row>
    <row r="24">
      <c r="A24" s="27" t="inlineStr">
        <is>
          <t>S1-010 Public Records / Board Packet</t>
        </is>
      </c>
      <c r="B24" s="27" t="inlineStr">
        <is>
          <t>Template</t>
        </is>
      </c>
      <c r="C24" s="27" t="inlineStr">
        <is>
          <t>Vowel</t>
        </is>
      </c>
      <c r="D24" s="27" t="inlineStr">
        <is>
          <t>Assemble a record or board packet with deadline and authority checks</t>
        </is>
      </c>
      <c r="E24" s="27" t="inlineStr">
        <is>
          <t>Paid</t>
        </is>
      </c>
      <c r="F24" s="27" t="inlineStr">
        <is>
          <t>Posting Desk; Dashboards</t>
        </is>
      </c>
    </row>
    <row r="25">
      <c r="A25" s="27" t="inlineStr">
        <is>
          <t>S1-011 Client Deliverable</t>
        </is>
      </c>
      <c r="B25" s="27" t="inlineStr">
        <is>
          <t>Template</t>
        </is>
      </c>
      <c r="C25" s="27" t="inlineStr">
        <is>
          <t>Vowel</t>
        </is>
      </c>
      <c r="D25" s="27" t="inlineStr">
        <is>
          <t>Move a client matter: task -&gt; draft -&gt; decision -&gt; invoice -&gt; handoff</t>
        </is>
      </c>
      <c r="E25" s="27" t="inlineStr">
        <is>
          <t>Paid</t>
        </is>
      </c>
      <c r="F25" s="27" t="inlineStr">
        <is>
          <t>Live CaseSpace; Weekly Update</t>
        </is>
      </c>
    </row>
    <row r="26">
      <c r="A26" s="27" t="inlineStr">
        <is>
          <t>S1-012 Release / Deployment</t>
        </is>
      </c>
      <c r="B26" s="27" t="inlineStr">
        <is>
          <t>Template</t>
        </is>
      </c>
      <c r="C26" s="27" t="inlineStr">
        <is>
          <t>Vowel</t>
        </is>
      </c>
      <c r="D26" s="27" t="inlineStr">
        <is>
          <t>Move local/live code safely: bug / feature / release / incident / env</t>
        </is>
      </c>
      <c r="E26" s="27" t="inlineStr">
        <is>
          <t>Paid</t>
        </is>
      </c>
      <c r="F26" s="27" t="inlineStr">
        <is>
          <t>Door Seeder; deploy checklist</t>
        </is>
      </c>
    </row>
    <row r="27">
      <c r="A27" s="27" t="inlineStr">
        <is>
          <t>S1-013 Maintenance / Incident</t>
        </is>
      </c>
      <c r="B27" s="27" t="inlineStr">
        <is>
          <t>Template</t>
        </is>
      </c>
      <c r="C27" s="27" t="inlineStr">
        <is>
          <t>Vowel</t>
        </is>
      </c>
      <c r="D27" s="27" t="inlineStr">
        <is>
          <t>Close a real-world issue with before/after proof</t>
        </is>
      </c>
      <c r="E27" s="27" t="inlineStr">
        <is>
          <t>Paid</t>
        </is>
      </c>
      <c r="F27" s="27" t="inlineStr">
        <is>
          <t>Door Seeder; Dashboards</t>
        </is>
      </c>
    </row>
    <row r="28">
      <c r="A28" s="27" t="inlineStr">
        <is>
          <t>S1-014 Invoice / Receipt / Payment Proof</t>
        </is>
      </c>
      <c r="B28" s="27" t="inlineStr">
        <is>
          <t>Template</t>
        </is>
      </c>
      <c r="C28" s="27" t="inlineStr">
        <is>
          <t>Vowel</t>
        </is>
      </c>
      <c r="D28" s="27" t="inlineStr">
        <is>
          <t>File a money event with approval proof</t>
        </is>
      </c>
      <c r="E28" s="27" t="inlineStr">
        <is>
          <t>Paid</t>
        </is>
      </c>
      <c r="F28" s="27" t="inlineStr">
        <is>
          <t>Door Seeder; approval gate</t>
        </is>
      </c>
    </row>
    <row r="29">
      <c r="A29" s="27" t="inlineStr">
        <is>
          <t>S1-015 Procurement / Vendor Handoff</t>
        </is>
      </c>
      <c r="B29" s="27" t="inlineStr">
        <is>
          <t>Template</t>
        </is>
      </c>
      <c r="C29" s="27" t="inlineStr">
        <is>
          <t>Vowel</t>
        </is>
      </c>
      <c r="D29" s="27" t="inlineStr">
        <is>
          <t>Quote -&gt; vendor -&gt; PO -&gt; delivery -&gt; acceptance with authority gate</t>
        </is>
      </c>
      <c r="E29" s="27" t="inlineStr">
        <is>
          <t>Paid</t>
        </is>
      </c>
      <c r="F29" s="27" t="inlineStr">
        <is>
          <t>Door Seeder; Dashboards</t>
        </is>
      </c>
    </row>
    <row r="30">
      <c r="A30" s="27" t="inlineStr">
        <is>
          <t>S1-016 Hiring / Onboarding</t>
        </is>
      </c>
      <c r="B30" s="27" t="inlineStr">
        <is>
          <t>Template</t>
        </is>
      </c>
      <c r="C30" s="27" t="inlineStr">
        <is>
          <t>Vowel</t>
        </is>
      </c>
      <c r="D30" s="27" t="inlineStr">
        <is>
          <t>Posting -&gt; candidate -&gt; offer -&gt; onboarding with decision proof</t>
        </is>
      </c>
      <c r="E30" s="27" t="inlineStr">
        <is>
          <t>Paid</t>
        </is>
      </c>
      <c r="F30" s="27" t="inlineStr">
        <is>
          <t>Door Seeder; Dashboards</t>
        </is>
      </c>
    </row>
  </sheetData>
  <mergeCells count="2">
    <mergeCell ref="A2:F2"/>
    <mergeCell ref="A1:F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0" customWidth="1" style="30" min="1" max="1"/>
    <col width="38" customWidth="1" style="30" min="2" max="2"/>
    <col width="40" customWidth="1" style="30" min="3" max="3"/>
    <col width="44" customWidth="1" style="30" min="4" max="4"/>
    <col width="26" customWidth="1" style="30" min="5" max="5"/>
    <col width="46" customWidth="1" style="30" min="6" max="6"/>
  </cols>
  <sheetData>
    <row r="1">
      <c r="A1" s="51" t="inlineStr">
        <is>
          <t>Industry Combos - Which Vowels Run on the Same Consonants</t>
        </is>
      </c>
      <c r="B1" s="1" t="n"/>
      <c r="C1" s="1" t="n"/>
      <c r="D1" s="1" t="n"/>
      <c r="E1" s="1" t="n"/>
      <c r="F1" s="1" t="n"/>
    </row>
    <row r="2">
      <c r="A2" s="52" t="inlineStr">
        <is>
          <t>Same tools across every industry; only the template overlay changes. The free entry is always the first-pass Path Sheet; the paid combo is the work pack plus its tools.</t>
        </is>
      </c>
      <c r="B2" s="1" t="n"/>
      <c r="C2" s="1" t="n"/>
      <c r="D2" s="1" t="n"/>
      <c r="E2" s="1" t="n"/>
      <c r="F2" s="1" t="n"/>
    </row>
    <row r="4">
      <c r="A4" s="38" t="inlineStr">
        <is>
          <t>Industry</t>
        </is>
      </c>
      <c r="B4" s="38" t="inlineStr">
        <is>
          <t>Lead Template(s)</t>
        </is>
      </c>
      <c r="C4" s="38" t="inlineStr">
        <is>
          <t>Tool Combo</t>
        </is>
      </c>
      <c r="D4" s="38" t="inlineStr">
        <is>
          <t>Vowel Overlay (what diverges)</t>
        </is>
      </c>
      <c r="E4" s="38" t="inlineStr">
        <is>
          <t>Free Entry</t>
        </is>
      </c>
      <c r="F4" s="38" t="inlineStr">
        <is>
          <t>Paid Combo</t>
        </is>
      </c>
    </row>
    <row r="5">
      <c r="A5" s="27" t="inlineStr">
        <is>
          <t>ALL / Cross-cutting</t>
        </is>
      </c>
      <c r="B5" s="27" t="inlineStr">
        <is>
          <t>Path Sheet Entry; Quick Review; Bridge Package; Live CaseSpace</t>
        </is>
      </c>
      <c r="C5" s="27" t="inlineStr">
        <is>
          <t>Path Sheet Gen; Door Seeder; Weekly Update; Dashboards; Seal</t>
        </is>
      </c>
      <c r="D5" s="27" t="inlineStr">
        <is>
          <t>Whichever family the matter belongs to</t>
        </is>
      </c>
      <c r="E5" s="27" t="inlineStr">
        <is>
          <t>First-pass Path Sheet</t>
        </is>
      </c>
      <c r="F5" s="27" t="inlineStr">
        <is>
          <t>Quick Review -&gt; Bridge Package -&gt; Live CaseSpace (service lane)</t>
        </is>
      </c>
    </row>
    <row r="6">
      <c r="A6" s="27" t="inlineStr">
        <is>
          <t>MUNI</t>
        </is>
      </c>
      <c r="B6" s="27" t="inlineStr">
        <is>
          <t>Permit &amp; Bridge; Public Records/Board Packet; Policy/SOP Stewardship</t>
        </is>
      </c>
      <c r="C6" s="27" t="inlineStr">
        <is>
          <t>Path Sheet Gen; Lane Picker; Posting Desk; Dashboards; Seal</t>
        </is>
      </c>
      <c r="D6" s="27" t="inlineStr">
        <is>
          <t>Permit/board/agency lanes; OML deadlines; authority &amp; site facts</t>
        </is>
      </c>
      <c r="E6" s="27" t="inlineStr">
        <is>
          <t>First-pass readiness Path Sheet</t>
        </is>
      </c>
      <c r="F6" s="27" t="inlineStr">
        <is>
          <t>MUNI + Continuity Work Packs + Lane Picker + Posting Desk + stewardship</t>
        </is>
      </c>
    </row>
    <row r="7">
      <c r="A7" s="27" t="inlineStr">
        <is>
          <t>GRANT</t>
        </is>
      </c>
      <c r="B7" s="27" t="inlineStr">
        <is>
          <t>Grant Readiness</t>
        </is>
      </c>
      <c r="C7" s="27" t="inlineStr">
        <is>
          <t>Path Sheet Gen; Door Seeder; Bridge Scorer; Dashboards; Seal</t>
        </is>
      </c>
      <c r="D7" s="27" t="inlineStr">
        <is>
          <t>Eligibility/match/partner/budget/narrative; NOFO references</t>
        </is>
      </c>
      <c r="E7" s="27" t="inlineStr">
        <is>
          <t>First-pass eligibility Path Sheet</t>
        </is>
      </c>
      <c r="F7" s="27" t="inlineStr">
        <is>
          <t>GRANT Work Pack + submission proof</t>
        </is>
      </c>
    </row>
    <row r="8">
      <c r="A8" s="27" t="inlineStr">
        <is>
          <t>STAY</t>
        </is>
      </c>
      <c r="B8" s="27" t="inlineStr">
        <is>
          <t>Property Memory; Maintenance/Incident</t>
        </is>
      </c>
      <c r="C8" s="27" t="inlineStr">
        <is>
          <t>Path Sheet Gen; Door Seeder; Dashboards; Seal</t>
        </is>
      </c>
      <c r="D8" s="27" t="inlineStr">
        <is>
          <t>Guest/turnover/maintenance/receipt events; occupancy conflict check</t>
        </is>
      </c>
      <c r="E8" s="27" t="inlineStr">
        <is>
          <t>First-pass property Path Sheet</t>
        </is>
      </c>
      <c r="F8" s="27" t="inlineStr">
        <is>
          <t>STAY Work Pack (property memory) + maintenance proof</t>
        </is>
      </c>
    </row>
    <row r="9">
      <c r="A9" s="27" t="inlineStr">
        <is>
          <t>BIZ</t>
        </is>
      </c>
      <c r="B9" s="27" t="inlineStr">
        <is>
          <t>Client Deliverable; Live CaseSpace</t>
        </is>
      </c>
      <c r="C9" s="27" t="inlineStr">
        <is>
          <t>Path Sheet Gen; Weekly Update; Dashboards; Seal</t>
        </is>
      </c>
      <c r="D9" s="27" t="inlineStr">
        <is>
          <t>Deliverable/draft/decision/invoice/handoff</t>
        </is>
      </c>
      <c r="E9" s="27" t="inlineStr">
        <is>
          <t>First-pass scope Path Sheet</t>
        </is>
      </c>
      <c r="F9" s="27" t="inlineStr">
        <is>
          <t>BIZ Work Pack + weekly updates</t>
        </is>
      </c>
    </row>
    <row r="10">
      <c r="A10" s="27" t="inlineStr">
        <is>
          <t>LIVE</t>
        </is>
      </c>
      <c r="B10" s="27" t="inlineStr">
        <is>
          <t>Release / Deployment</t>
        </is>
      </c>
      <c r="C10" s="27" t="inlineStr">
        <is>
          <t>Door Seeder; Deploy checklist; Dashboards; Seal</t>
        </is>
      </c>
      <c r="D10" s="27" t="inlineStr">
        <is>
          <t>Bug/feature/release/incident/env; surface-not-state</t>
        </is>
      </c>
      <c r="E10" s="27" t="inlineStr">
        <is>
          <t>First-pass Path Sheet</t>
        </is>
      </c>
      <c r="F10" s="27" t="inlineStr">
        <is>
          <t>LIVE Work Pack + release proof</t>
        </is>
      </c>
    </row>
    <row r="11">
      <c r="A11" s="27" t="inlineStr">
        <is>
          <t>PEOPLE</t>
        </is>
      </c>
      <c r="B11" s="27" t="inlineStr">
        <is>
          <t>Time &amp; Attendance; Hiring/Onboarding</t>
        </is>
      </c>
      <c r="C11" s="27" t="inlineStr">
        <is>
          <t>Door Seeder; Approval &amp; payroll gates; Dashboards; Seal</t>
        </is>
      </c>
      <c r="D11" s="27" t="inlineStr">
        <is>
          <t>Shift/timesheet/leave/OT/training/incident; posting/candidate/offer</t>
        </is>
      </c>
      <c r="E11" s="27" t="inlineStr">
        <is>
          <t>First-pass Path Sheet</t>
        </is>
      </c>
      <c r="F11" s="27" t="inlineStr">
        <is>
          <t>Workforce Work Pack</t>
        </is>
      </c>
    </row>
    <row r="12">
      <c r="A12" s="27" t="inlineStr">
        <is>
          <t>PROPERTY</t>
        </is>
      </c>
      <c r="B12" s="27" t="inlineStr">
        <is>
          <t>Maintenance / Incident</t>
        </is>
      </c>
      <c r="C12" s="27" t="inlineStr">
        <is>
          <t>Path Sheet Gen; Door Seeder; Dashboards; Seal</t>
        </is>
      </c>
      <c r="D12" s="27" t="inlineStr">
        <is>
          <t>Issue/vendor/inspection/receipt/closeout; safety gate</t>
        </is>
      </c>
      <c r="E12" s="27" t="inlineStr">
        <is>
          <t>First-pass Path Sheet</t>
        </is>
      </c>
      <c r="F12" s="27" t="inlineStr">
        <is>
          <t>Property Work Pack + before/after proof</t>
        </is>
      </c>
    </row>
    <row r="13">
      <c r="A13" s="27" t="inlineStr">
        <is>
          <t>FINANCE</t>
        </is>
      </c>
      <c r="B13" s="27" t="inlineStr">
        <is>
          <t>Invoice / Receipt / Payment Proof</t>
        </is>
      </c>
      <c r="C13" s="27" t="inlineStr">
        <is>
          <t>Door Seeder; Approval gate; Dashboards; Seal</t>
        </is>
      </c>
      <c r="D13" s="27" t="inlineStr">
        <is>
          <t>Invoice/receipt/approval/reimbursement</t>
        </is>
      </c>
      <c r="E13" s="27" t="inlineStr">
        <is>
          <t>First-pass Path Sheet</t>
        </is>
      </c>
      <c r="F13" s="27" t="inlineStr">
        <is>
          <t>Finance Work Pack</t>
        </is>
      </c>
    </row>
    <row r="14">
      <c r="A14" s="27" t="inlineStr">
        <is>
          <t>OPS</t>
        </is>
      </c>
      <c r="B14" s="27" t="inlineStr">
        <is>
          <t>Procurement / Vendor Handoff</t>
        </is>
      </c>
      <c r="C14" s="27" t="inlineStr">
        <is>
          <t>Door Seeder; Procurement gate; Dashboards; Seal</t>
        </is>
      </c>
      <c r="D14" s="27" t="inlineStr">
        <is>
          <t>Quote/vendor/PO/delivery/acceptance</t>
        </is>
      </c>
      <c r="E14" s="27" t="inlineStr">
        <is>
          <t>First-pass Path Sheet</t>
        </is>
      </c>
      <c r="F14" s="27" t="inlineStr">
        <is>
          <t>Operations Work Pack</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2026-06-26T12:51:57Z</dcterms:created>
  <dcterms:modified xmlns:dcterms="http://purl.org/dc/terms/" xmlns:xsi="http://www.w3.org/2001/XMLSchema-instance" xsi:type="dcterms:W3CDTF">2026-06-26T13:29:12Z</dcterms:modified>
</cp:coreProperties>
</file>