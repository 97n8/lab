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tables/table8.xml" ContentType="application/vnd.openxmlformats-officedocument.spreadsheetml.table+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EADME" sheetId="2" state="visible" r:id="rId2"/>
    <sheet name="Architecture" sheetId="3" state="visible" r:id="rId3"/>
    <sheet name="Canon Registry" sheetId="4" state="visible" r:id="rId4"/>
    <sheet name="Canon Collisions" sheetId="5" state="visible" r:id="rId5"/>
    <sheet name="Control" sheetId="6" state="visible" r:id="rId6"/>
    <sheet name="Taxonomy" sheetId="7" state="visible" r:id="rId7"/>
    <sheet name="Event Vocabulary" sheetId="8" state="visible" r:id="rId8"/>
    <sheet name="Event Envelope" sheetId="9" state="visible" r:id="rId9"/>
    <sheet name="Artifact Registry" sheetId="10" state="visible" r:id="rId10"/>
    <sheet name="PJ Event Log" sheetId="11" state="visible" r:id="rId11"/>
    <sheet name="Signal Intake" sheetId="12" state="visible" r:id="rId12"/>
    <sheet name="Review Queue" sheetId="13" state="visible" r:id="rId13"/>
    <sheet name="Sources" sheetId="14" state="visible" r:id="rId14"/>
    <sheet name="Consumers" sheetId="15" state="visible" r:id="rId15"/>
    <sheet name="Validation" sheetId="16" state="visible" r:id="rId16"/>
    <sheet name="Case Overview" sheetId="17" state="visible" r:id="rId17"/>
    <sheet name="Intake" sheetId="18" state="visible" r:id="rId18"/>
    <sheet name="Documents" sheetId="19" state="visible" r:id="rId19"/>
    <sheet name="Decisions" sheetId="20" state="visible" r:id="rId20"/>
    <sheet name="Next Steps" sheetId="21" state="visible" r:id="rId21"/>
  </sheets>
  <definedNames>
    <definedName name="LaneList">Control!$B$14:$B$17</definedName>
    <definedName name="NatureList">Control!$C$14:$C$15</definedName>
    <definedName name="LifecycleList">Control!$D$14:$D$17</definedName>
    <definedName name="FamilyList">Control!$E$14:$E$23</definedName>
    <definedName name="EventTypeList">Control!$F$14:$F$28</definedName>
    <definedName name="StatusList">Control!$G$14:$G$21</definedName>
    <definedName name="SignificanceList">Control!$H$14:$H$17</definedName>
    <definedName name="SourceList">Control!$I$14:$I$20</definedName>
    <definedName name="ConsumerList">Control!$J$14:$J$19</definedName>
    <definedName name="RiskList">Control!$K$14:$K$16</definedName>
    <definedName name="ResolvedList">Control!$L$14:$L$15</definedName>
    <definedName name="TaskStatusList">Control!$M$14:$M$17</definedName>
    <definedName name="EvidenceStatusList">Control!$N$14:$N$16</definedName>
    <definedName name="YesNoList">Control!$O$14:$O$15</definedName>
    <definedName name="CaseList">Control!$P$14:$P$14</definedName>
    <definedName name="ConnectorTypeList">Control!$Q$14:$Q$18</definedName>
    <definedName name="SignalKindList">Control!$R$14:$R$21</definedName>
    <definedName name="DecisionList">Control!$S$14:$S$17</definedName>
    <definedName name="ResolutionList">Control!$T$14:$T$16</definedName>
    <definedName name="ClaimStatusList">Control!$U$14:$U$17</definedName>
    <definedName name="PRRKindList">Control!$V$14:$V$21</definedName>
    <definedName name="ReceiptVerbList">Control!$W$14:$W$17</definedName>
    <definedName name="HumanVerbList">Control!$X$14:$X$16</definedName>
    <definedName name="SensitivityList">Control!$Y$14:$Y$17</definedName>
    <definedName name="ObjectTypeList">Control!$Z$14:$Z$19</definedName>
    <definedName name="ReviewThreshold">Control!$B$55</definedName>
    <definedName name="EventFamilyList">Control!$AA$14:$AA$19</definedName>
  </definedNames>
  <calcPr calcId="124519" fullCalcOnLoad="1"/>
</workbook>
</file>

<file path=xl/styles.xml><?xml version="1.0" encoding="utf-8"?>
<styleSheet xmlns="http://schemas.openxmlformats.org/spreadsheetml/2006/main">
  <numFmts count="2">
    <numFmt numFmtId="164" formatCode="yyyy-mm-dd hh:mm"/>
    <numFmt numFmtId="165" formatCode="yyyy-mm-dd"/>
  </numFmts>
  <fonts count="11">
    <font>
      <name val="Calibri"/>
      <family val="2"/>
      <color theme="1"/>
      <sz val="11"/>
      <scheme val="minor"/>
    </font>
    <font>
      <name val="Carlito"/>
      <b val="1"/>
      <color rgb="FFFFFFFF"/>
      <sz val="16"/>
    </font>
    <font>
      <name val="Carlito"/>
      <i val="1"/>
      <color rgb="FF0B1F33"/>
      <sz val="11"/>
    </font>
    <font>
      <name val="Carlito"/>
      <b val="1"/>
      <color rgb="FFFFFFFF"/>
      <sz val="11"/>
    </font>
    <font>
      <name val="Carlito"/>
      <b val="1"/>
      <color rgb="FF0B1F33"/>
      <sz val="11"/>
    </font>
    <font>
      <b val="1"/>
      <color rgb="00FFFFFF"/>
    </font>
    <font>
      <name val="Carlito"/>
      <sz val="11"/>
    </font>
    <font>
      <name val="Carlito"/>
      <b val="1"/>
      <sz val="11"/>
    </font>
    <font>
      <b val="1"/>
      <sz val="14"/>
    </font>
    <font>
      <i val="1"/>
      <sz val="9"/>
    </font>
    <font>
      <b val="1"/>
    </font>
  </fonts>
  <fills count="8">
    <fill>
      <patternFill/>
    </fill>
    <fill>
      <patternFill patternType="gray125"/>
    </fill>
    <fill>
      <patternFill patternType="solid">
        <fgColor rgb="FF0B1F33"/>
      </patternFill>
    </fill>
    <fill>
      <patternFill patternType="solid">
        <fgColor rgb="FFE8F1F2"/>
      </patternFill>
    </fill>
    <fill>
      <patternFill patternType="solid">
        <fgColor rgb="FF1F6F50"/>
      </patternFill>
    </fill>
    <fill>
      <patternFill patternType="solid">
        <fgColor rgb="FFF1F5F9"/>
      </patternFill>
    </fill>
    <fill>
      <patternFill patternType="solid">
        <fgColor rgb="000A1E3C"/>
      </patternFill>
    </fill>
    <fill>
      <patternFill patternType="solid">
        <fgColor rgb="00E9BE5C"/>
      </patternFill>
    </fill>
  </fills>
  <borders count="2">
    <border>
      <left/>
      <right/>
      <top/>
      <bottom/>
      <diagonal/>
    </border>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xf>
    <xf numFmtId="0" fontId="3" fillId="4" borderId="1" applyAlignment="1" pivotButton="0" quotePrefix="0" xfId="0">
      <alignment horizontal="center" vertical="center" wrapText="1"/>
    </xf>
    <xf numFmtId="0" fontId="4" fillId="5" borderId="1" pivotButton="0" quotePrefix="0" xfId="0"/>
    <xf numFmtId="0" fontId="4" fillId="3" borderId="1" pivotButton="0" quotePrefix="0" xfId="0"/>
    <xf numFmtId="0" fontId="5" fillId="6" borderId="0" pivotButton="0" quotePrefix="0" xfId="0"/>
    <xf numFmtId="0" fontId="0" fillId="6" borderId="0" pivotButton="0" quotePrefix="0" xfId="0"/>
    <xf numFmtId="0" fontId="1" fillId="2" borderId="1" applyAlignment="1" pivotButton="0" quotePrefix="0" xfId="0">
      <alignment horizontal="left" vertical="center"/>
    </xf>
    <xf numFmtId="0" fontId="4" fillId="5" borderId="1" applyAlignment="1" pivotButton="0" quotePrefix="0" xfId="0">
      <alignment horizontal="center" vertical="center" wrapText="1"/>
    </xf>
    <xf numFmtId="0" fontId="6" fillId="0" borderId="1" applyAlignment="1" pivotButton="0" quotePrefix="0" xfId="0">
      <alignment wrapText="1"/>
    </xf>
    <xf numFmtId="0" fontId="7" fillId="5" borderId="1" pivotButton="0" quotePrefix="0" xfId="0"/>
    <xf numFmtId="0" fontId="8" fillId="0" borderId="0" pivotButton="0" quotePrefix="0" xfId="0"/>
    <xf numFmtId="0" fontId="9" fillId="0" borderId="0" pivotButton="0" quotePrefix="0" xfId="0"/>
    <xf numFmtId="0" fontId="10" fillId="0" borderId="0" pivotButton="0" quotePrefix="0" xfId="0"/>
    <xf numFmtId="0" fontId="0" fillId="7" borderId="0" pivotButton="0" quotePrefix="0" xfId="0"/>
    <xf numFmtId="0" fontId="0" fillId="0" borderId="0" applyAlignment="1" pivotButton="0" quotePrefix="0" xfId="0">
      <alignment wrapText="1"/>
    </xf>
    <xf numFmtId="49" fontId="6" fillId="0" borderId="1" applyAlignment="1" pivotButton="0" quotePrefix="0" xfId="0">
      <alignment wrapText="1"/>
    </xf>
    <xf numFmtId="164" fontId="6" fillId="0" borderId="1" applyAlignment="1" pivotButton="0" quotePrefix="0" xfId="0">
      <alignment wrapText="1"/>
    </xf>
    <xf numFmtId="165" fontId="0" fillId="0" borderId="0" pivotButton="0" quotePrefix="0" xfId="0"/>
    <xf numFmtId="2" fontId="0" fillId="0" borderId="0" pivotButton="0" quotePrefix="0" xfId="0"/>
    <xf numFmtId="164" fontId="6" fillId="0" borderId="1" applyAlignment="1" pivotButton="0" quotePrefix="0" xfId="0">
      <alignment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ables/table1.xml><?xml version="1.0" encoding="utf-8"?>
<table xmlns="http://schemas.openxmlformats.org/spreadsheetml/2006/main" id="1" name="CanonRegistry" displayName="CanonRegistry" ref="A4:K22" headerRowCount="1">
  <autoFilter ref="A4:K22"/>
  <tableColumns count="11">
    <tableColumn id="1" name="Vocabulary"/>
    <tableColumn id="2" name="Named Range"/>
    <tableColumn id="3" name="Count here"/>
    <tableColumn id="4" name="Authoritative source"/>
    <tableColumn id="5" name="Constant"/>
    <tableColumn id="6" name="Count in source"/>
    <tableColumn id="7" name="Drift?"/>
    <tableColumn id="8" name="Owner"/>
    <tableColumn id="9" name="Expected members (source)"/>
    <tableColumn id="10" name="Members match?"/>
    <tableColumn id="11" name="Spill guard"/>
  </tableColumns>
  <tableStyleInfo name="TableStyleMedium2" showRowStripes="1"/>
</table>
</file>

<file path=xl/tables/table2.xml><?xml version="1.0" encoding="utf-8"?>
<table xmlns="http://schemas.openxmlformats.org/spreadsheetml/2006/main" id="2" name="TaxonomyFamilies" displayName="TaxonomyFamilies" ref="A4:E14" headerRowCount="1">
  <autoFilter ref="A4:E14"/>
  <tableColumns count="5">
    <tableColumn id="1" name="Family"/>
    <tableColumn id="2" name="Plain-English Role"/>
    <tableColumn id="3" name="Examples"/>
    <tableColumn id="4" name="Typical Events"/>
    <tableColumn id="5" name="Default Retention"/>
  </tableColumns>
  <tableStyleInfo name="TableStyleMedium2" showRowStripes="1"/>
</table>
</file>

<file path=xl/tables/table3.xml><?xml version="1.0" encoding="utf-8"?>
<table xmlns="http://schemas.openxmlformats.org/spreadsheetml/2006/main" id="3" name="EventVocabulary" displayName="EventVocabulary" ref="A4:F19" headerRowCount="1">
  <autoFilter ref="A4:F19"/>
  <tableColumns count="6">
    <tableColumn id="1" name="Event Type"/>
    <tableColumn id="2" name="Definition"/>
    <tableColumn id="3" name="Allowed Trigger"/>
    <tableColumn id="4" name="Primary Metadata"/>
    <tableColumn id="5" name="Default Significance"/>
    <tableColumn id="6" name="Consumer Examples"/>
  </tableColumns>
  <tableStyleInfo name="TableStyleMedium2" showRowStripes="1"/>
</table>
</file>

<file path=xl/tables/table4.xml><?xml version="1.0" encoding="utf-8"?>
<table xmlns="http://schemas.openxmlformats.org/spreadsheetml/2006/main" id="4" name="EventEnvelope" displayName="EventEnvelope" ref="A4:E16" headerRowCount="1">
  <autoFilter ref="A4:E16"/>
  <tableColumns count="5">
    <tableColumn id="1" name="Field"/>
    <tableColumn id="2" name="Required"/>
    <tableColumn id="3" name="Type"/>
    <tableColumn id="4" name="Example"/>
    <tableColumn id="5" name="Governance Rule"/>
  </tableColumns>
  <tableStyleInfo name="TableStyleMedium2" showRowStripes="1"/>
</table>
</file>

<file path=xl/tables/table5.xml><?xml version="1.0" encoding="utf-8"?>
<table xmlns="http://schemas.openxmlformats.org/spreadsheetml/2006/main" id="5" name="ArtifactRegistry" displayName="ArtifactRegistry" ref="A4:R200" headerRowCount="1">
  <autoFilter ref="A4:R200"/>
  <tableColumns count="18">
    <tableColumn id="1" name="Artifact ID"/>
    <tableColumn id="2" name="Artifact Name"/>
    <tableColumn id="3" name="Module"/>
    <tableColumn id="4" name="Lane"/>
    <tableColumn id="5" name="Family"/>
    <tableColumn id="6" name="Nature"/>
    <tableColumn id="7" name="Lifecycle"/>
    <tableColumn id="8" name="Authority"/>
    <tableColumn id="9" name="Owner"/>
    <tableColumn id="10" name="Retention"/>
    <tableColumn id="11" name="Version"/>
    <tableColumn id="12" name="Status"/>
    <tableColumn id="13" name="Source System"/>
    <tableColumn id="14" name="Last Event"/>
    <tableColumn id="15" name="Risk"/>
    <tableColumn id="16" name="Case ID"/>
    <tableColumn id="17" name="Claim Status"/>
    <tableColumn id="18" name="Sensitivity"/>
  </tableColumns>
  <tableStyleInfo name="TableStyleMedium2" showRowStripes="1"/>
</table>
</file>

<file path=xl/tables/table6.xml><?xml version="1.0" encoding="utf-8"?>
<table xmlns="http://schemas.openxmlformats.org/spreadsheetml/2006/main" id="6" name="PJEventLog" displayName="PJEventLog" ref="A4:R200" headerRowCount="1">
  <autoFilter ref="A4:R200"/>
  <tableColumns count="18">
    <tableColumn id="1" name="Event ID"/>
    <tableColumn id="2" name="Timestamp"/>
    <tableColumn id="3" name="Event Type"/>
    <tableColumn id="4" name="Artifact ID"/>
    <tableColumn id="5" name="Family"/>
    <tableColumn id="6" name="Nature"/>
    <tableColumn id="7" name="Lifecycle"/>
    <tableColumn id="8" name="Owner"/>
    <tableColumn id="9" name="Authority"/>
    <tableColumn id="10" name="Source System"/>
    <tableColumn id="11" name="Version"/>
    <tableColumn id="12" name="Significance"/>
    <tableColumn id="13" name="Consumer"/>
    <tableColumn id="14" name="Metadata"/>
    <tableColumn id="15" name="Valid?"/>
    <tableColumn id="16" name="Resolved"/>
    <tableColumn id="17" name="Case ID"/>
    <tableColumn id="18" name="PRR Kind"/>
  </tableColumns>
  <tableStyleInfo name="TableStyleMedium2" showRowStripes="1"/>
</table>
</file>

<file path=xl/tables/table7.xml><?xml version="1.0" encoding="utf-8"?>
<table xmlns="http://schemas.openxmlformats.org/spreadsheetml/2006/main" id="7" name="SignalIntake" displayName="SignalIntake" ref="A4:Q60" headerRowCount="1">
  <autoFilter ref="A4:Q60"/>
  <tableColumns count="17">
    <tableColumn id="1" name="Signal ID"/>
    <tableColumn id="2" name="Received"/>
    <tableColumn id="3" name="Connector"/>
    <tableColumn id="4" name="Connector Type"/>
    <tableColumn id="5" name="Source Ref"/>
    <tableColumn id="6" name="Kind"/>
    <tableColumn id="7" name="Artifact ID"/>
    <tableColumn id="8" name="Suggested CaseSpace"/>
    <tableColumn id="9" name="Confidence"/>
    <tableColumn id="10" name="Match Evidence"/>
    <tableColumn id="11" name="Missing Evidence"/>
    <tableColumn id="12" name="Decision"/>
    <tableColumn id="13" name="Receipt ID"/>
    <tableColumn id="14" name="Preserved"/>
    <tableColumn id="15" name="Checksum"/>
    <tableColumn id="16" name="Valid?"/>
    <tableColumn id="17" name="Receipt Verb"/>
  </tableColumns>
  <tableStyleInfo name="TableStyleMedium2" showRowStripes="1"/>
</table>
</file>

<file path=xl/tables/table8.xml><?xml version="1.0" encoding="utf-8"?>
<table xmlns="http://schemas.openxmlformats.org/spreadsheetml/2006/main" id="8" name="ReviewQueue" displayName="ReviewQueue" ref="A4:N40" headerRowCount="1">
  <autoFilter ref="A4:N40"/>
  <tableColumns count="14">
    <tableColumn id="1" name="Review ID"/>
    <tableColumn id="2" name="Signal ID"/>
    <tableColumn id="3" name="Prior Receipt ID"/>
    <tableColumn id="4" name="Artifact ID"/>
    <tableColumn id="5" name="Held reason"/>
    <tableColumn id="6" name="Missing evidence"/>
    <tableColumn id="7" name="Resolution"/>
    <tableColumn id="8" name="Case ID"/>
    <tableColumn id="9" name="Resolved by (role)"/>
    <tableColumn id="10" name="Resolution reason"/>
    <tableColumn id="11" name="Resolved date"/>
    <tableColumn id="12" name="Second Receipt ID"/>
    <tableColumn id="13" name="Status"/>
    <tableColumn id="14" name="Second Receipt Verb"/>
  </tableColumns>
  <tableStyleInfo name="TableStyleMedium2" showRowStripes="1"/>
</table>
</file>

<file path=xl/tables/table9.xml><?xml version="1.0" encoding="utf-8"?>
<table xmlns="http://schemas.openxmlformats.org/spreadsheetml/2006/main" id="9" name="SourceRegistry" displayName="SourceRegistry" ref="A4:F11" headerRowCount="1">
  <autoFilter ref="A4:F11"/>
  <tableColumns count="6">
    <tableColumn id="1" name="Source System"/>
    <tableColumn id="2" name="Owns Truth For"/>
    <tableColumn id="3" name="Observed Changes"/>
    <tableColumn id="4" name="Identity Delegated?"/>
    <tableColumn id="5" name="PJ Writes Back?"/>
    <tableColumn id="6" name="Adapter Notes"/>
  </tableColumns>
  <tableStyleInfo name="TableStyleMedium2" showRowStripes="1"/>
</table>
</file>

<file path=xl/tables/table10.xml><?xml version="1.0" encoding="utf-8"?>
<table xmlns="http://schemas.openxmlformats.org/spreadsheetml/2006/main" id="10" name="ConsumerRegistry" displayName="ConsumerRegistry" ref="A4:F10" headerRowCount="1">
  <autoFilter ref="A4:F10"/>
  <tableColumns count="6">
    <tableColumn id="1" name="Consumer"/>
    <tableColumn id="2" name="Consumes Events"/>
    <tableColumn id="3" name="Action Owned By Consumer"/>
    <tableColumn id="4" name="Default Channel"/>
    <tableColumn id="5" name="Criticality"/>
    <tableColumn id="6" name="Notes"/>
  </tableColumns>
  <tableStyleInfo name="TableStyleMedium2" showRowStripes="1"/>
</table>
</file>

<file path=xl/tables/table11.xml><?xml version="1.0" encoding="utf-8"?>
<table xmlns="http://schemas.openxmlformats.org/spreadsheetml/2006/main" id="11" name="ValidationChecks" displayName="ValidationChecks" ref="A4:E35" headerRowCount="1">
  <autoFilter ref="A4:E35"/>
  <tableColumns count="5">
    <tableColumn id="1" name="Check"/>
    <tableColumn id="2" name="Formula / Value"/>
    <tableColumn id="3" name="Expected"/>
    <tableColumn id="4" name="Signal"/>
    <tableColumn id="5" name="Owner"/>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7.xml.rels><Relationships xmlns="http://schemas.openxmlformats.org/package/2006/relationships"><Relationship Type="http://schemas.openxmlformats.org/officeDocument/2006/relationships/table" Target="/xl/tables/table2.xml" Id="rId1" /></Relationships>
</file>

<file path=xl/worksheets/_rels/sheet8.xml.rels><Relationships xmlns="http://schemas.openxmlformats.org/package/2006/relationships"><Relationship Type="http://schemas.openxmlformats.org/officeDocument/2006/relationships/table" Target="/xl/tables/table3.xml" Id="rId1" /></Relationships>
</file>

<file path=xl/worksheets/_rels/sheet9.xml.rels><Relationships xmlns="http://schemas.openxmlformats.org/package/2006/relationships"><Relationship Type="http://schemas.openxmlformats.org/officeDocument/2006/relationships/table" Target="/xl/tables/table4.xml" Id="rId1" /></Relationships>
</file>

<file path=xl/worksheets/_rels/sheet10.xml.rels><Relationships xmlns="http://schemas.openxmlformats.org/package/2006/relationships"><Relationship Type="http://schemas.openxmlformats.org/officeDocument/2006/relationships/table" Target="/xl/tables/table5.xml" Id="rId1" /></Relationships>
</file>

<file path=xl/worksheets/_rels/sheet11.xml.rels><Relationships xmlns="http://schemas.openxmlformats.org/package/2006/relationships"><Relationship Type="http://schemas.openxmlformats.org/officeDocument/2006/relationships/table" Target="/xl/tables/table6.xml" Id="rId1" /></Relationships>
</file>

<file path=xl/worksheets/_rels/sheet12.xml.rels><Relationships xmlns="http://schemas.openxmlformats.org/package/2006/relationships"><Relationship Type="http://schemas.openxmlformats.org/officeDocument/2006/relationships/table" Target="/xl/tables/table7.xml" Id="rId1" /></Relationships>
</file>

<file path=xl/worksheets/_rels/sheet13.xml.rels><Relationships xmlns="http://schemas.openxmlformats.org/package/2006/relationships"><Relationship Type="http://schemas.openxmlformats.org/officeDocument/2006/relationships/table" Target="/xl/tables/table8.xml" Id="rId1" /></Relationships>
</file>

<file path=xl/worksheets/_rels/sheet14.xml.rels><Relationships xmlns="http://schemas.openxmlformats.org/package/2006/relationships"><Relationship Type="http://schemas.openxmlformats.org/officeDocument/2006/relationships/table" Target="/xl/tables/table9.xml" Id="rId1" /></Relationships>
</file>

<file path=xl/worksheets/_rels/sheet15.xml.rels><Relationships xmlns="http://schemas.openxmlformats.org/package/2006/relationships"><Relationship Type="http://schemas.openxmlformats.org/officeDocument/2006/relationships/table" Target="/xl/tables/table10.xml" Id="rId1" /></Relationships>
</file>

<file path=xl/worksheets/_rels/sheet16.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24" customWidth="1" min="1" max="1"/>
    <col width="60" customWidth="1" min="2" max="2"/>
    <col width="24" customWidth="1" min="3" max="3"/>
    <col width="18" customWidth="1" min="5" max="5"/>
    <col width="18" customWidth="1" min="6" max="6"/>
  </cols>
  <sheetData>
    <row r="1">
      <c r="A1" s="1" t="inlineStr">
        <is>
          <t>PublicLogic · PuddleJumper Runtime</t>
        </is>
      </c>
    </row>
    <row r="2">
      <c r="A2" s="2" t="inlineStr">
        <is>
          <t>Artifact taxonomy + PuddleJumper observation layer · publish governed facts, not workflows</t>
        </is>
      </c>
    </row>
    <row r="4">
      <c r="A4" s="3" t="inlineStr">
        <is>
          <t>Metric</t>
        </is>
      </c>
      <c r="B4" s="3" t="inlineStr">
        <is>
          <t>Value</t>
        </is>
      </c>
      <c r="C4" s="3" t="inlineStr">
        <is>
          <t>Signal</t>
        </is>
      </c>
      <c r="E4" s="3" t="inlineStr">
        <is>
          <t>Significance</t>
        </is>
      </c>
      <c r="F4" s="3" t="inlineStr">
        <is>
          <t>Count</t>
        </is>
      </c>
    </row>
    <row r="5">
      <c r="A5" s="4" t="inlineStr">
        <is>
          <t>Artifacts</t>
        </is>
      </c>
      <c r="B5">
        <f>COUNTA('Artifact Registry'!B5:B200)</f>
        <v/>
      </c>
      <c r="C5">
        <f>IF(B5&gt;=1,"OK","CHECK")</f>
        <v/>
      </c>
      <c r="E5" t="inlineStr">
        <is>
          <t>Info</t>
        </is>
      </c>
      <c r="F5">
        <f>COUNTIF('PJ Event Log'!L5:L200,"Info")</f>
        <v/>
      </c>
    </row>
    <row r="6">
      <c r="A6" s="4" t="inlineStr">
        <is>
          <t>Event Types</t>
        </is>
      </c>
      <c r="B6">
        <f>COUNTA(EventTypeList)</f>
        <v/>
      </c>
      <c r="C6">
        <f>IF(B6=COUNTA(EventTypeList),"OK","CHECK")</f>
        <v/>
      </c>
      <c r="E6" t="inlineStr">
        <is>
          <t>Watch</t>
        </is>
      </c>
      <c r="F6">
        <f>COUNTIF('PJ Event Log'!L5:L200,"Watch")</f>
        <v/>
      </c>
    </row>
    <row r="7">
      <c r="A7" s="4" t="inlineStr">
        <is>
          <t>Events Logged</t>
        </is>
      </c>
      <c r="B7">
        <f>COUNTA('PJ Event Log'!A5:A200)</f>
        <v/>
      </c>
      <c r="C7">
        <f>IF(B7&gt;=1,"OK","CHECK")</f>
        <v/>
      </c>
      <c r="E7" t="inlineStr">
        <is>
          <t>Action</t>
        </is>
      </c>
      <c r="F7">
        <f>COUNTIF('PJ Event Log'!L5:L200,"Action")</f>
        <v/>
      </c>
    </row>
    <row r="8">
      <c r="A8" s="4" t="inlineStr">
        <is>
          <t>Validation Checks</t>
        </is>
      </c>
      <c r="B8">
        <f>COUNTA(Validation!A5:A50)</f>
        <v/>
      </c>
      <c r="C8">
        <f>IF(COUNTIF(Validation!D5:D50,"CHECK")=0,"OK","CHECK")</f>
        <v/>
      </c>
      <c r="E8" t="inlineStr">
        <is>
          <t>Critical</t>
        </is>
      </c>
      <c r="F8">
        <f>COUNTIF('PJ Event Log'!L5:L200,"Critical")</f>
        <v/>
      </c>
    </row>
    <row r="9">
      <c r="A9" s="4" t="inlineStr">
        <is>
          <t>Unresolved Critical Events</t>
        </is>
      </c>
      <c r="B9">
        <f>COUNTIFS('PJ Event Log'!L5:L200,"Critical",'PJ Event Log'!P5:P200,"No")</f>
        <v/>
      </c>
      <c r="C9">
        <f>IF(B9=0,"OK","ACTION")</f>
        <v/>
      </c>
    </row>
    <row r="10">
      <c r="A10" s="4" t="inlineStr">
        <is>
          <t>Runtime Readiness</t>
        </is>
      </c>
      <c r="B10">
        <f>IF(AND(COUNTIF(Validation!D5:D50,"CHECK")=0,B9=0),"READY","NOT READY")</f>
        <v/>
      </c>
      <c r="C10">
        <f>IF(B10="READY","OK","ACTION")</f>
        <v/>
      </c>
    </row>
    <row r="13">
      <c r="A13" s="3" t="inlineStr">
        <is>
          <t>Doctrine Rule</t>
        </is>
      </c>
      <c r="B13" s="3" t="inlineStr">
        <is>
          <t>Meaning</t>
        </is>
      </c>
    </row>
    <row r="14">
      <c r="A14" s="5" t="inlineStr">
        <is>
          <t>Observe, do not own</t>
        </is>
      </c>
      <c r="B14" t="inlineStr">
        <is>
          <t>PJ never becomes the system of record.</t>
        </is>
      </c>
    </row>
    <row r="15">
      <c r="A15" s="5" t="inlineStr">
        <is>
          <t>Publish governed facts</t>
        </is>
      </c>
      <c r="B15" t="inlineStr">
        <is>
          <t>Events report what happened, not what should happen.</t>
        </is>
      </c>
    </row>
    <row r="16">
      <c r="A16" s="5" t="inlineStr">
        <is>
          <t>Consumers own behavior</t>
        </is>
      </c>
      <c r="B16" t="inlineStr">
        <is>
          <t>Notifications, dashboards, and archives subscribe independently.</t>
        </is>
      </c>
    </row>
    <row r="17">
      <c r="A17" s="5" t="inlineStr">
        <is>
          <t>Identity delegated</t>
        </is>
      </c>
      <c r="B17" t="inlineStr">
        <is>
          <t>PJ does not own user passwords.</t>
        </is>
      </c>
    </row>
    <row r="18">
      <c r="A18" s="5" t="inlineStr">
        <is>
          <t>Artifact ID is permanent</t>
        </is>
      </c>
      <c r="B18" t="inlineStr">
        <is>
          <t>IDs are typed, never derived. Never rely on filenames, paths, or URLs as identity.</t>
        </is>
      </c>
    </row>
    <row r="20">
      <c r="A20" s="6" t="inlineStr">
        <is>
          <t>CASE LAYER</t>
        </is>
      </c>
      <c r="B20" s="7" t="n"/>
      <c r="C20" s="7" t="n"/>
      <c r="D20" s="7" t="n"/>
      <c r="E20" s="7" t="n"/>
      <c r="F20" s="7" t="n"/>
    </row>
    <row r="21">
      <c r="A21" t="inlineStr">
        <is>
          <t>Active case</t>
        </is>
      </c>
      <c r="B21">
        <f>'Case Overview'!B5</f>
        <v/>
      </c>
    </row>
    <row r="22">
      <c r="A22" t="inlineStr">
        <is>
          <t>Case lifecycle</t>
        </is>
      </c>
      <c r="B22">
        <f>'Case Overview'!B9</f>
        <v/>
      </c>
    </row>
    <row r="23">
      <c r="A23" t="inlineStr">
        <is>
          <t>Case artifacts</t>
        </is>
      </c>
      <c r="B23">
        <f>'Case Overview'!B16</f>
        <v/>
      </c>
    </row>
    <row r="24">
      <c r="A24" t="inlineStr">
        <is>
          <t>Case events</t>
        </is>
      </c>
      <c r="B24">
        <f>'Case Overview'!B17</f>
        <v/>
      </c>
    </row>
    <row r="25">
      <c r="A25" t="inlineStr">
        <is>
          <t>Closeout readiness</t>
        </is>
      </c>
      <c r="B25">
        <f>'Case Overview'!B25</f>
        <v/>
      </c>
    </row>
    <row r="27">
      <c r="A27" s="6" t="inlineStr">
        <is>
          <t>SIGNAL LAYER</t>
        </is>
      </c>
      <c r="B27" s="7" t="n"/>
      <c r="C27" s="7" t="n"/>
      <c r="D27" s="7" t="n"/>
      <c r="E27" s="7" t="n"/>
      <c r="F27" s="7" t="n"/>
    </row>
    <row r="28">
      <c r="A28" t="inlineStr">
        <is>
          <t>Signals received</t>
        </is>
      </c>
      <c r="B28">
        <f>COUNTA('Signal Intake'!A5:A60)</f>
        <v/>
      </c>
    </row>
    <row r="29">
      <c r="A29" t="inlineStr">
        <is>
          <t>Signals held for review</t>
        </is>
      </c>
      <c r="B29">
        <f>COUNTIF('Signal Intake'!L5:L60,"needs_review")</f>
        <v/>
      </c>
      <c r="C29">
        <f>IF(B29=0,"OK","REVIEW")</f>
        <v/>
      </c>
    </row>
    <row r="30">
      <c r="A30" t="inlineStr">
        <is>
          <t>Open review items</t>
        </is>
      </c>
      <c r="B30">
        <f>COUNTIF('Review Queue'!M5:M40,"Open")</f>
        <v/>
      </c>
    </row>
    <row r="31">
      <c r="A31" t="inlineStr">
        <is>
          <t>Signals unpreserved</t>
        </is>
      </c>
      <c r="B31">
        <f>COUNTIFS('Signal Intake'!A5:A60,"&lt;&gt;",'Signal Intake'!N5:N60,"&lt;&gt;Yes")</f>
        <v/>
      </c>
      <c r="C31">
        <f>IF(B31=0,"OK","ACTION")</f>
        <v/>
      </c>
    </row>
    <row r="32">
      <c r="A32" t="inlineStr">
        <is>
          <t>CONDITIONAL claims sealed</t>
        </is>
      </c>
      <c r="B32">
        <f>COUNTIFS('Artifact Registry'!Q5:Q200,"CONDITIONAL",'Artifact Registry'!G5:G200,"ARCHIEVE")</f>
        <v/>
      </c>
      <c r="C32">
        <f>IF(B32=0,"OK","ACTION")</f>
        <v/>
      </c>
    </row>
    <row r="34">
      <c r="A34" s="6" t="inlineStr">
        <is>
          <t>CANON</t>
        </is>
      </c>
      <c r="B34" s="7" t="n"/>
      <c r="C34" s="7" t="n"/>
      <c r="D34" s="7" t="n"/>
      <c r="E34" s="7" t="n"/>
      <c r="F34" s="7" t="n"/>
    </row>
    <row r="35">
      <c r="A35" t="inlineStr">
        <is>
          <t>Vocabularies registered</t>
        </is>
      </c>
      <c r="B35">
        <f>COUNTA('Canon Registry'!A5:A20)</f>
        <v/>
      </c>
    </row>
    <row r="36">
      <c r="A36" t="inlineStr">
        <is>
          <t>Vocabulary drift vs code</t>
        </is>
      </c>
      <c r="B36">
        <f>COUNTIF('Canon Registry'!G5:G20,"DRIFT")</f>
        <v/>
      </c>
      <c r="C36">
        <f>IF(B36=0,"OK","DRIFT")</f>
        <v/>
      </c>
    </row>
    <row r="37">
      <c r="A37" t="inlineStr">
        <is>
          <t>Canonical form version</t>
        </is>
      </c>
      <c r="B37">
        <f>Control!B56</f>
        <v/>
      </c>
    </row>
    <row r="38">
      <c r="A38" t="inlineStr">
        <is>
          <t>Review threshold</t>
        </is>
      </c>
      <c r="B38">
        <f>ReviewThreshold</f>
        <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4" customWidth="1" min="1" max="1"/>
    <col width="90" customWidth="1" min="2" max="2"/>
  </cols>
  <sheetData>
    <row r="1">
      <c r="A1" s="8" t="inlineStr">
        <is>
          <t>PublicLogic · PuddleJumper Runtime</t>
        </is>
      </c>
    </row>
    <row r="2">
      <c r="A2" s="2" t="inlineStr">
        <is>
          <t>v3.0 CANON · governance + case surface + signal intake, grounded in golden-path source</t>
        </is>
      </c>
    </row>
    <row r="4">
      <c r="A4" s="9" t="inlineStr">
        <is>
          <t>Purpose</t>
        </is>
      </c>
      <c r="B4" s="3" t="inlineStr">
        <is>
          <t>This workbook defines PublicLogic's artifact taxonomy, lifecycle doctrine, and PuddleJumper observation layer as a production-ready governance workbook.</t>
        </is>
      </c>
    </row>
    <row r="5">
      <c r="A5" s="4" t="inlineStr">
        <is>
          <t>Core Rule</t>
        </is>
      </c>
      <c r="B5" s="10" t="inlineStr">
        <is>
          <t>Governance is the model; software is replaceable. PJ observes, normalizes, classifies, and publishes governed facts.</t>
        </is>
      </c>
    </row>
    <row r="6">
      <c r="A6" s="4" t="inlineStr">
        <is>
          <t>Identity</t>
        </is>
      </c>
      <c r="B6" s="10" t="inlineStr">
        <is>
          <t>Delegated to upstream systems: Microsoft 365, Google Workspace, Azure AD, CivicPlus, GitHub.</t>
        </is>
      </c>
    </row>
    <row r="7">
      <c r="A7" s="4" t="inlineStr">
        <is>
          <t>Artifacts</t>
        </is>
      </c>
      <c r="B7" s="10" t="inlineStr">
        <is>
          <t>Persistent Artifact ID + Family + Nature + Authority + Owner + Retention.</t>
        </is>
      </c>
    </row>
    <row r="8">
      <c r="A8" s="4" t="inlineStr">
        <is>
          <t>Lifecycle</t>
        </is>
      </c>
      <c r="B8" s="10" t="inlineStr">
        <is>
          <t>FORM → CaseSpace → DocDump → ARCHIEVE.</t>
        </is>
      </c>
    </row>
    <row r="9">
      <c r="A9" s="4" t="inlineStr">
        <is>
          <t>Events</t>
        </is>
      </c>
      <c r="B9" s="10" t="inlineStr">
        <is>
          <t>Small, closed vocabulary of governed facts; consumers decide behavior.</t>
        </is>
      </c>
    </row>
    <row r="10">
      <c r="A10" s="4" t="inlineStr">
        <is>
          <t>v2.0 Changes</t>
        </is>
      </c>
      <c r="B10" s="10" t="inlineStr">
        <is>
          <t>Merged the CaseSpace starter into the governance canon. One Control block, one closed event vocabulary, one PRR (the PJ Event Log). Case ID added as a facet on both Artifact Registry and Event Log. Case FORM, evidence requests, and decisions are now registered artifacts with permanent IDs. "Sealed" retired in favour of ARCHIEVE. CAL and PRM expanded. Evidence requests gained owners, due dates, and a staleness check. Case closeout gate added. Append-only is documented as asserted, not enforced.</t>
        </is>
      </c>
    </row>
    <row r="11">
      <c r="A11" t="inlineStr">
        <is>
          <t>Honest limitation</t>
        </is>
      </c>
      <c r="B11" t="inlineStr">
        <is>
          <t>Excel cannot enforce append-only immutability. The PuddleJumper runtime does, via trigger-enforced audit. This workbook is a working surface and a design artifact — it is never the system of record.</t>
        </is>
      </c>
    </row>
    <row r="12">
      <c r="A12" t="inlineStr">
        <is>
          <t>v2.1 Changes</t>
        </is>
      </c>
      <c r="B12" t="inlineStr">
        <is>
          <t>Added the connector spine: Signal Intake and Review Queue. CANON CHANGE — the closed event vocabulary grew from 12 to 15 with SignalReceived, SignalHeldForReview, and SignalResolved. Added Claim Status (CONFIRMED / PENDING / PROJECTED / CONDITIONAL) as a facet on every artifact, and a gate preventing any CONDITIONAL claim from being sealed to ARCHIEVE.</t>
        </is>
      </c>
    </row>
    <row r="13">
      <c r="A13" t="inlineStr">
        <is>
          <t>The refusal is the product</t>
        </is>
      </c>
      <c r="B13" t="inlineStr">
        <is>
          <t>A signal is placed only on match evidence. Absent it, the decision is needs_review: the signal is preserved, the missing evidence is recorded, and a person resolves it. The second receipt proves PJ did not guess and names who decided.</t>
        </is>
      </c>
    </row>
    <row r="14">
      <c r="A14" t="inlineStr">
        <is>
          <t>v3.0 Changes</t>
        </is>
      </c>
      <c r="B14" t="inlineStr">
        <is>
          <t>Domain retired in favour of Lane, adopting LOCKED_LANES from golden-path/src/form.js — the workbook had six domains that do not exist in running code. Added PRR Kind, Receipt Verb, and Human Verb vocabularies, all lifted verbatim from source. REVIEW_THRESHOLD (0.6) and CANONICAL_FORM_VERSION (v1) mirrored as named constants and enforced: a signal below threshold must be held, a signal at or above it must not be. New Canon Registry sheet names one authoritative source per vocabulary and computes drift.</t>
        </is>
      </c>
    </row>
    <row r="15">
      <c r="A15" t="inlineStr">
        <is>
          <t>The canon rule</t>
        </is>
      </c>
      <c r="B15" t="inlineStr">
        <is>
          <t>Code is canon for any vocabulary enforced at runtime. This workbook is canon for governance vocabularies code does not enforce. Everything else — website workbook, business stack, client briefs, repo READMEs — is a derived view that may cite canon and may never define it.</t>
        </is>
      </c>
    </row>
    <row r="16">
      <c r="A16" t="inlineStr">
        <is>
          <t>v3.1 Changes</t>
        </is>
      </c>
      <c r="B16" t="inlineStr">
        <is>
          <t>Harvested the retired LogicOS Build Spec v3. Added Sensitivity (public/internal/restricted/confidential, lifted from the SQLite CHECK constraint) as a facet on every artifact, plus the Record/Case/Task object model, the Tenant→Environment→CaseSpace→Record→Case→Task hierarchy, and the browser-vs-server enforcement boundary. LogicOS, LogicDash, LogicSuite, Syncronate, governanceEngine and chainStore recorded as SUPERSEDED. VAULT wording corrected: Verification · Authority · Utility · Legitimacy · Transfer.</t>
        </is>
      </c>
    </row>
    <row r="17">
      <c r="A17" t="inlineStr">
        <is>
          <t>v3.2 Changes</t>
        </is>
      </c>
      <c r="B17" t="inlineStr">
        <is>
          <t>Added the Canon Collisions sheet. Eleven documents audited; six claim canon authority and contradict each other on VAULT, PuddleJumper, ARCHIEVE, the "never engine" rule, n8n, the kill list, the connector layer, and LogicCommons. Nothing was merged. Ten decisions are recorded as REQUIRED. Target-state specs are marked as proposals, not canon.</t>
        </is>
      </c>
    </row>
    <row r="18">
      <c r="A18" t="inlineStr">
        <is>
          <t>Rule added</t>
        </is>
      </c>
      <c r="B18" t="inlineStr">
        <is>
          <t>A term with more than one live definition has no definition. Resolve the collision before citing the term.</t>
        </is>
      </c>
    </row>
    <row r="19">
      <c r="A19" t="inlineStr">
        <is>
          <t>v3.3 Changes</t>
        </is>
      </c>
      <c r="B19" t="inlineStr">
        <is>
          <t>Adversarial testing found the drift check could not fail: appending a value below a named range, or renaming a member, both passed. Drift now requires count match AND exact ordered membership (SUMPRODUCT/EXACT against the source literal) AND an empty spill window below each range. TEXTJOIN was rejected — unavailable.</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2" customWidth="1" min="2" max="2"/>
    <col width="30" customWidth="1" min="3" max="3"/>
    <col width="44" customWidth="1" min="4" max="4"/>
    <col width="16" customWidth="1" min="5" max="5"/>
    <col width="44" customWidth="1" min="6" max="6"/>
  </cols>
  <sheetData>
    <row r="1">
      <c r="A1" s="1" t="inlineStr">
        <is>
          <t>Four-Layer PublicLogic Architecture</t>
        </is>
      </c>
    </row>
    <row r="2">
      <c r="A2" s="2" t="inlineStr">
        <is>
          <t>Each layer is independent and replaceable. PJ sits in the Event / Observation layer.</t>
        </is>
      </c>
    </row>
    <row r="4">
      <c r="A4" s="3" t="inlineStr">
        <is>
          <t>Layer</t>
        </is>
      </c>
      <c r="B4" s="3" t="inlineStr">
        <is>
          <t>Question</t>
        </is>
      </c>
      <c r="C4" s="3" t="inlineStr">
        <is>
          <t>Owns</t>
        </is>
      </c>
      <c r="D4" s="3" t="inlineStr">
        <is>
          <t>Examples</t>
        </is>
      </c>
      <c r="E4" s="3" t="inlineStr">
        <is>
          <t>Does PJ Own It?</t>
        </is>
      </c>
      <c r="F4" s="3" t="inlineStr">
        <is>
          <t>Doctrine</t>
        </is>
      </c>
    </row>
    <row r="5">
      <c r="A5" s="5" t="inlineStr">
        <is>
          <t>1. Identity</t>
        </is>
      </c>
      <c r="B5" t="inlineStr">
        <is>
          <t>Who is acting?</t>
        </is>
      </c>
      <c r="C5" t="inlineStr">
        <is>
          <t>Upstream identity providers</t>
        </is>
      </c>
      <c r="D5" t="inlineStr">
        <is>
          <t>Microsoft 365, Google Workspace, Azure AD, CivicPlus, GitHub</t>
        </is>
      </c>
      <c r="E5" t="inlineStr">
        <is>
          <t>No</t>
        </is>
      </c>
      <c r="F5" t="inlineStr">
        <is>
          <t>Identity is delegated, never duplicated.</t>
        </is>
      </c>
    </row>
    <row r="6">
      <c r="A6" s="5" t="inlineStr">
        <is>
          <t>2. Artifacts</t>
        </is>
      </c>
      <c r="B6" t="inlineStr">
        <is>
          <t>What things are?</t>
        </is>
      </c>
      <c r="C6" t="inlineStr">
        <is>
          <t>PublicLogic taxonomy</t>
        </is>
      </c>
      <c r="D6" t="inlineStr">
        <is>
          <t>Family, Nature, Authority, Owner, Retention, Artifact ID</t>
        </is>
      </c>
      <c r="E6" t="inlineStr">
        <is>
          <t>No</t>
        </is>
      </c>
      <c r="F6" t="inlineStr">
        <is>
          <t>Artifacts are the unit of governance.</t>
        </is>
      </c>
    </row>
    <row r="7">
      <c r="A7" s="5" t="inlineStr">
        <is>
          <t>3. Lifecycle</t>
        </is>
      </c>
      <c r="B7" t="inlineStr">
        <is>
          <t>Where things are?</t>
        </is>
      </c>
      <c r="C7" t="inlineStr">
        <is>
          <t>Runtime doctrine</t>
        </is>
      </c>
      <c r="D7" t="inlineStr">
        <is>
          <t>FORM → CaseSpace → DocDump → ARCHIEVE</t>
        </is>
      </c>
      <c r="E7" t="inlineStr">
        <is>
          <t>No</t>
        </is>
      </c>
      <c r="F7" t="inlineStr">
        <is>
          <t>Lifecycle state is observable, not owned.</t>
        </is>
      </c>
    </row>
    <row r="8">
      <c r="A8" s="5" t="inlineStr">
        <is>
          <t>4. Events</t>
        </is>
      </c>
      <c r="B8" t="inlineStr">
        <is>
          <t>What changed?</t>
        </is>
      </c>
      <c r="C8" t="inlineStr">
        <is>
          <t>PuddleJumper Observation Layer</t>
        </is>
      </c>
      <c r="D8" t="inlineStr">
        <is>
          <t>Created, Modified, Approved, Archived, EvidenceGapDetected</t>
        </is>
      </c>
      <c r="E8" t="inlineStr">
        <is>
          <t>Yes</t>
        </is>
      </c>
      <c r="F8" t="inlineStr">
        <is>
          <t>Events describe facts, not intentions.</t>
        </is>
      </c>
    </row>
    <row r="11">
      <c r="A11" s="3" t="inlineStr">
        <is>
          <t>Rule</t>
        </is>
      </c>
      <c r="B11" s="3" t="inlineStr">
        <is>
          <t>Principle</t>
        </is>
      </c>
      <c r="C11" s="3" t="inlineStr">
        <is>
          <t>Operational Test</t>
        </is>
      </c>
    </row>
    <row r="12">
      <c r="A12" s="11" t="n">
        <v>1</v>
      </c>
      <c r="B12" t="inlineStr">
        <is>
          <t>Systems of record own truth.</t>
        </is>
      </c>
      <c r="C12" t="inlineStr">
        <is>
          <t>Can the source system remain authoritative if PJ is turned off?</t>
        </is>
      </c>
    </row>
    <row r="13">
      <c r="A13" s="11" t="n">
        <v>2</v>
      </c>
      <c r="B13" t="inlineStr">
        <is>
          <t>Artifacts are the unit of governance.</t>
        </is>
      </c>
      <c r="C13" t="inlineStr">
        <is>
          <t>Does every governed object have one persistent Artifact ID?</t>
        </is>
      </c>
    </row>
    <row r="14">
      <c r="A14" s="11" t="n">
        <v>3</v>
      </c>
      <c r="B14" t="inlineStr">
        <is>
          <t>Events describe facts, not intentions.</t>
        </is>
      </c>
      <c r="C14" t="inlineStr">
        <is>
          <t>Does each event state what happened, not what should happen?</t>
        </is>
      </c>
    </row>
    <row r="15">
      <c r="A15" s="11" t="n">
        <v>4</v>
      </c>
      <c r="B15" t="inlineStr">
        <is>
          <t>Consumers own behavior.</t>
        </is>
      </c>
      <c r="C15" t="inlineStr">
        <is>
          <t>Can email, dashboard, and archive react independently?</t>
        </is>
      </c>
    </row>
    <row r="16">
      <c r="A16" s="11" t="n">
        <v>5</v>
      </c>
      <c r="B16" t="inlineStr">
        <is>
          <t>Identity is delegated.</t>
        </is>
      </c>
      <c r="C16" t="inlineStr">
        <is>
          <t>Can PJ avoid owning user passwords and authentication?</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46" customWidth="1" min="1" max="1"/>
    <col width="22" customWidth="1" min="2" max="2"/>
    <col width="11" customWidth="1" min="3" max="3"/>
    <col width="34" customWidth="1" min="4" max="4"/>
    <col width="22" customWidth="1" min="5" max="5"/>
    <col width="15" customWidth="1" min="6" max="6"/>
    <col width="10" customWidth="1" min="7" max="7"/>
    <col width="12" customWidth="1" min="8" max="8"/>
    <col width="66" customWidth="1" min="9" max="9"/>
    <col width="15" customWidth="1" min="10" max="10"/>
    <col width="12" customWidth="1" min="11" max="11"/>
  </cols>
  <sheetData>
    <row r="1">
      <c r="A1" s="12" t="inlineStr">
        <is>
          <t>Canon Registry — one canon, everything else cites it</t>
        </is>
      </c>
    </row>
    <row r="2">
      <c r="A2" s="13" t="inlineStr">
        <is>
          <t>Each vocabulary has exactly one authoritative source. Code wins where code enforces. Drift? compares the count here against the count in the source.</t>
        </is>
      </c>
    </row>
    <row r="4">
      <c r="A4" s="14" t="inlineStr">
        <is>
          <t>Vocabulary</t>
        </is>
      </c>
      <c r="B4" s="14" t="inlineStr">
        <is>
          <t>Named Range</t>
        </is>
      </c>
      <c r="C4" s="14" t="inlineStr">
        <is>
          <t>Count here</t>
        </is>
      </c>
      <c r="D4" s="14" t="inlineStr">
        <is>
          <t>Authoritative source</t>
        </is>
      </c>
      <c r="E4" s="14" t="inlineStr">
        <is>
          <t>Constant</t>
        </is>
      </c>
      <c r="F4" s="14" t="inlineStr">
        <is>
          <t>Count in source</t>
        </is>
      </c>
      <c r="G4" s="14" t="inlineStr">
        <is>
          <t>Drift?</t>
        </is>
      </c>
      <c r="H4" s="14" t="inlineStr">
        <is>
          <t>Owner</t>
        </is>
      </c>
      <c r="I4" s="14" t="inlineStr">
        <is>
          <t>Expected members (source)</t>
        </is>
      </c>
      <c r="J4" s="14" t="inlineStr">
        <is>
          <t>Members match?</t>
        </is>
      </c>
      <c r="K4" s="14" t="inlineStr">
        <is>
          <t>Spill guard</t>
        </is>
      </c>
    </row>
    <row r="5">
      <c r="A5" t="inlineStr">
        <is>
          <t>Lane</t>
        </is>
      </c>
      <c r="B5" t="inlineStr">
        <is>
          <t>LaneList</t>
        </is>
      </c>
      <c r="C5">
        <f>COUNTA(LaneList)</f>
        <v/>
      </c>
      <c r="D5" t="inlineStr">
        <is>
          <t>golden-path/src/form.js</t>
        </is>
      </c>
      <c r="E5" t="inlineStr">
        <is>
          <t>LOCKED_LANES</t>
        </is>
      </c>
      <c r="F5" t="n">
        <v>4</v>
      </c>
      <c r="G5">
        <f>IF(AND(C5=F5,OR(J5="n/a",J5="OK"),K5="OK"),"OK","DRIFT")</f>
        <v/>
      </c>
      <c r="H5" t="inlineStr">
        <is>
          <t>Code</t>
        </is>
      </c>
      <c r="I5" t="inlineStr">
        <is>
          <t>STAY; MUNI; PROJECT; BIZ</t>
        </is>
      </c>
      <c r="J5">
        <f>IF(SUMPRODUCT(--EXACT(LaneList,{"STAY";"MUNI";"PROJECT";"BIZ"}))=4,"OK","DRIFT")</f>
        <v/>
      </c>
      <c r="K5">
        <f>IF(COUNTA(Control!$B$18:$B$22)=0,"OK","SPILL")</f>
        <v/>
      </c>
    </row>
    <row r="6">
      <c r="A6" t="inlineStr">
        <is>
          <t>Signal Kind</t>
        </is>
      </c>
      <c r="B6" t="inlineStr">
        <is>
          <t>SignalKindList</t>
        </is>
      </c>
      <c r="C6">
        <f>COUNTA(SignalKindList)</f>
        <v/>
      </c>
      <c r="D6" t="inlineStr">
        <is>
          <t>golden-path/src/signal.js</t>
        </is>
      </c>
      <c r="E6" t="inlineStr">
        <is>
          <t>SIGNAL_KINDS</t>
        </is>
      </c>
      <c r="F6" t="n">
        <v>8</v>
      </c>
      <c r="G6">
        <f>IF(AND(C6=F6,OR(J6="n/a",J6="OK"),K6="OK"),"OK","DRIFT")</f>
        <v/>
      </c>
      <c r="H6" t="inlineStr">
        <is>
          <t>Code</t>
        </is>
      </c>
      <c r="I6" t="inlineStr">
        <is>
          <t>email; file; event; row; invoice; webhook; form; other</t>
        </is>
      </c>
      <c r="J6">
        <f>IF(SUMPRODUCT(--EXACT(SignalKindList,{"email";"file";"event";"row";"invoice";"webhook";"form";"other"}))=8,"OK","DRIFT")</f>
        <v/>
      </c>
      <c r="K6">
        <f>IF(COUNTA(Control!$R$22:$R$26)=0,"OK","SPILL")</f>
        <v/>
      </c>
    </row>
    <row r="7">
      <c r="A7" t="inlineStr">
        <is>
          <t>Connector Type</t>
        </is>
      </c>
      <c r="B7" t="inlineStr">
        <is>
          <t>ConnectorTypeList</t>
        </is>
      </c>
      <c r="C7">
        <f>COUNTA(ConnectorTypeList)</f>
        <v/>
      </c>
      <c r="D7" t="inlineStr">
        <is>
          <t>golden-path/src/signal.js</t>
        </is>
      </c>
      <c r="E7" t="inlineStr">
        <is>
          <t>CONNECTOR_TYPES</t>
        </is>
      </c>
      <c r="F7" t="n">
        <v>5</v>
      </c>
      <c r="G7">
        <f>IF(AND(C7=F7,OR(J7="n/a",J7="OK"),K7="OK"),"OK","DRIFT")</f>
        <v/>
      </c>
      <c r="H7" t="inlineStr">
        <is>
          <t>Code</t>
        </is>
      </c>
      <c r="I7" t="inlineStr">
        <is>
          <t>files; api; db; web; local</t>
        </is>
      </c>
      <c r="J7">
        <f>IF(SUMPRODUCT(--EXACT(ConnectorTypeList,{"files";"api";"db";"web";"local"}))=5,"OK","DRIFT")</f>
        <v/>
      </c>
      <c r="K7">
        <f>IF(COUNTA(Control!$Q$19:$Q$23)=0,"OK","SPILL")</f>
        <v/>
      </c>
    </row>
    <row r="8">
      <c r="A8" t="inlineStr">
        <is>
          <t>Decision</t>
        </is>
      </c>
      <c r="B8" t="inlineStr">
        <is>
          <t>DecisionList</t>
        </is>
      </c>
      <c r="C8">
        <f>COUNTA(DecisionList)</f>
        <v/>
      </c>
      <c r="D8" t="inlineStr">
        <is>
          <t>golden-path/src/connector.js</t>
        </is>
      </c>
      <c r="E8" t="inlineStr">
        <is>
          <t>CASE_ACTIONS</t>
        </is>
      </c>
      <c r="F8" t="n">
        <v>4</v>
      </c>
      <c r="G8">
        <f>IF(AND(C8=F8,OR(J8="n/a",J8="OK"),K8="OK"),"OK","DRIFT")</f>
        <v/>
      </c>
      <c r="H8" t="inlineStr">
        <is>
          <t>Code</t>
        </is>
      </c>
      <c r="I8" t="inlineStr">
        <is>
          <t>open; append; ignore; needs_review</t>
        </is>
      </c>
      <c r="J8">
        <f>IF(SUMPRODUCT(--EXACT(DecisionList,{"open";"append";"ignore";"needs_review"}))=4,"OK","DRIFT")</f>
        <v/>
      </c>
      <c r="K8">
        <f>IF(COUNTA(Control!$S$18:$S$22)=0,"OK","SPILL")</f>
        <v/>
      </c>
    </row>
    <row r="9">
      <c r="A9" t="inlineStr">
        <is>
          <t>Receipt Verb</t>
        </is>
      </c>
      <c r="B9" t="inlineStr">
        <is>
          <t>ReceiptVerbList</t>
        </is>
      </c>
      <c r="C9">
        <f>COUNTA(ReceiptVerbList)</f>
        <v/>
      </c>
      <c r="D9" t="inlineStr">
        <is>
          <t>golden-path/src/connector.js</t>
        </is>
      </c>
      <c r="E9" t="inlineStr">
        <is>
          <t>RECEIPT_VERB</t>
        </is>
      </c>
      <c r="F9" t="n">
        <v>4</v>
      </c>
      <c r="G9">
        <f>IF(AND(C9=F9,OR(J9="n/a",J9="OK"),K9="OK"),"OK","DRIFT")</f>
        <v/>
      </c>
      <c r="H9" t="inlineStr">
        <is>
          <t>Code</t>
        </is>
      </c>
      <c r="I9" t="inlineStr">
        <is>
          <t>opened_casespace; appended_to_casespace; flagged_for_review; ignored</t>
        </is>
      </c>
      <c r="J9">
        <f>IF(SUMPRODUCT(--EXACT(ReceiptVerbList,{"opened_casespace";"appended_to_casespace";"flagged_for_review";"ignored"}))=4,"OK","DRIFT")</f>
        <v/>
      </c>
      <c r="K9">
        <f>IF(COUNTA(Control!$W$18:$W$22)=0,"OK","SPILL")</f>
        <v/>
      </c>
    </row>
    <row r="10">
      <c r="A10" t="inlineStr">
        <is>
          <t>Human Verb</t>
        </is>
      </c>
      <c r="B10" t="inlineStr">
        <is>
          <t>HumanVerbList</t>
        </is>
      </c>
      <c r="C10">
        <f>COUNTA(HumanVerbList)</f>
        <v/>
      </c>
      <c r="D10" t="inlineStr">
        <is>
          <t>golden-path/src/review.js</t>
        </is>
      </c>
      <c r="E10" t="inlineStr">
        <is>
          <t>HUMAN_VERB</t>
        </is>
      </c>
      <c r="F10" t="n">
        <v>3</v>
      </c>
      <c r="G10">
        <f>IF(AND(C10=F10,OR(J10="n/a",J10="OK"),K10="OK"),"OK","DRIFT")</f>
        <v/>
      </c>
      <c r="H10" t="inlineStr">
        <is>
          <t>Code</t>
        </is>
      </c>
      <c r="I10" t="inlineStr">
        <is>
          <t>human_appended_to_casespace; human_opened_casespace; human_ignored_signal</t>
        </is>
      </c>
      <c r="J10">
        <f>IF(SUMPRODUCT(--EXACT(HumanVerbList,{"human_appended_to_casespace";"human_opened_casespace";"human_ignored_signal"}))=3,"OK","DRIFT")</f>
        <v/>
      </c>
      <c r="K10">
        <f>IF(COUNTA(Control!$X$17:$X$21)=0,"OK","SPILL")</f>
        <v/>
      </c>
    </row>
    <row r="11">
      <c r="A11" t="inlineStr">
        <is>
          <t>Resolution</t>
        </is>
      </c>
      <c r="B11" t="inlineStr">
        <is>
          <t>ResolutionList</t>
        </is>
      </c>
      <c r="C11">
        <f>COUNTA(ResolutionList)</f>
        <v/>
      </c>
      <c r="D11" t="inlineStr">
        <is>
          <t>golden-path/src/review.js</t>
        </is>
      </c>
      <c r="E11" t="inlineStr">
        <is>
          <t>HUMAN_VERB (keys)</t>
        </is>
      </c>
      <c r="F11" t="n">
        <v>3</v>
      </c>
      <c r="G11">
        <f>IF(AND(C11=F11,OR(J11="n/a",J11="OK"),K11="OK"),"OK","DRIFT")</f>
        <v/>
      </c>
      <c r="H11" t="inlineStr">
        <is>
          <t>Code</t>
        </is>
      </c>
      <c r="I11" t="inlineStr">
        <is>
          <t>append; open; ignore</t>
        </is>
      </c>
      <c r="J11">
        <f>IF(SUMPRODUCT(--EXACT(ResolutionList,{"append";"open";"ignore"}))=3,"OK","DRIFT")</f>
        <v/>
      </c>
      <c r="K11">
        <f>IF(COUNTA(Control!$T$17:$T$21)=0,"OK","SPILL")</f>
        <v/>
      </c>
    </row>
    <row r="12">
      <c r="A12" t="inlineStr">
        <is>
          <t>PRR Kind</t>
        </is>
      </c>
      <c r="B12" t="inlineStr">
        <is>
          <t>PRRKindList</t>
        </is>
      </c>
      <c r="C12">
        <f>COUNTA(PRRKindList)</f>
        <v/>
      </c>
      <c r="D12" t="inlineStr">
        <is>
          <t>golden-path/src/prr.js</t>
        </is>
      </c>
      <c r="E12" t="inlineStr">
        <is>
          <t>PRR_KINDS</t>
        </is>
      </c>
      <c r="F12" t="n">
        <v>8</v>
      </c>
      <c r="G12">
        <f>IF(AND(C12=F12,OR(J12="n/a",J12="OK"),K12="OK"),"OK","DRIFT")</f>
        <v/>
      </c>
      <c r="H12" t="inlineStr">
        <is>
          <t>Code</t>
        </is>
      </c>
      <c r="I12" t="inlineStr">
        <is>
          <t>FORM; EVIDENCE; DECISION; CAL; PRM; TIME; NOTE; SEAL</t>
        </is>
      </c>
      <c r="J12">
        <f>IF(SUMPRODUCT(--EXACT(PRRKindList,{"FORM";"EVIDENCE";"DECISION";"CAL";"PRM";"TIME";"NOTE";"SEAL"}))=8,"OK","DRIFT")</f>
        <v/>
      </c>
      <c r="K12">
        <f>IF(COUNTA(Control!$V$22:$V$26)=0,"OK","SPILL")</f>
        <v/>
      </c>
    </row>
    <row r="13">
      <c r="A13" t="inlineStr">
        <is>
          <t>Lifecycle</t>
        </is>
      </c>
      <c r="B13" t="inlineStr">
        <is>
          <t>LifecycleList</t>
        </is>
      </c>
      <c r="C13">
        <f>COUNTA(LifecycleList)</f>
        <v/>
      </c>
      <c r="D13" t="inlineStr">
        <is>
          <t>This workbook</t>
        </is>
      </c>
      <c r="E13" t="inlineStr">
        <is>
          <t>Control!D14:D17</t>
        </is>
      </c>
      <c r="F13" t="n">
        <v>4</v>
      </c>
      <c r="G13">
        <f>IF(AND(C13=F13,OR(J13="n/a",J13="OK"),K13="OK"),"OK","DRIFT")</f>
        <v/>
      </c>
      <c r="H13" t="inlineStr">
        <is>
          <t>Workbook</t>
        </is>
      </c>
      <c r="J13" t="inlineStr">
        <is>
          <t>n/a</t>
        </is>
      </c>
      <c r="K13">
        <f>IF(COUNTA(Control!$D$18:$D$22)=0,"OK","SPILL")</f>
        <v/>
      </c>
    </row>
    <row r="14">
      <c r="A14" t="inlineStr">
        <is>
          <t>Artifact Family</t>
        </is>
      </c>
      <c r="B14" t="inlineStr">
        <is>
          <t>FamilyList</t>
        </is>
      </c>
      <c r="C14">
        <f>COUNTA(FamilyList)</f>
        <v/>
      </c>
      <c r="D14" t="inlineStr">
        <is>
          <t>This workbook</t>
        </is>
      </c>
      <c r="E14" t="inlineStr">
        <is>
          <t>Taxonomy sheet</t>
        </is>
      </c>
      <c r="F14" t="n">
        <v>10</v>
      </c>
      <c r="G14">
        <f>IF(AND(C14=F14,OR(J14="n/a",J14="OK"),K14="OK"),"OK","DRIFT")</f>
        <v/>
      </c>
      <c r="H14" t="inlineStr">
        <is>
          <t>Workbook</t>
        </is>
      </c>
      <c r="J14" t="inlineStr">
        <is>
          <t>n/a</t>
        </is>
      </c>
      <c r="K14">
        <f>IF(COUNTA(Control!$E$24:$E$28)=0,"OK","SPILL")</f>
        <v/>
      </c>
    </row>
    <row r="15">
      <c r="A15" t="inlineStr">
        <is>
          <t>Artifact Event</t>
        </is>
      </c>
      <c r="B15" t="inlineStr">
        <is>
          <t>EventTypeList</t>
        </is>
      </c>
      <c r="C15">
        <f>COUNTA(EventTypeList)</f>
        <v/>
      </c>
      <c r="D15" t="inlineStr">
        <is>
          <t>This workbook (Event Vocabulary sheet)</t>
        </is>
      </c>
      <c r="E15" t="inlineStr">
        <is>
          <t>Closed Event Vocabulary</t>
        </is>
      </c>
      <c r="F15" t="n">
        <v>15</v>
      </c>
      <c r="G15">
        <f>IF(AND(C15=F15,OR(J15="n/a",J15="OK"),K15="OK"),"OK","DRIFT")</f>
        <v/>
      </c>
      <c r="H15" t="inlineStr">
        <is>
          <t>Workbook</t>
        </is>
      </c>
      <c r="J15" t="inlineStr">
        <is>
          <t>n/a</t>
        </is>
      </c>
      <c r="K15">
        <f>IF(COUNTA(Control!$F$29:$F$33)=0,"OK","SPILL")</f>
        <v/>
      </c>
    </row>
    <row r="16">
      <c r="A16" t="inlineStr">
        <is>
          <t>Nature</t>
        </is>
      </c>
      <c r="B16" t="inlineStr">
        <is>
          <t>NatureList</t>
        </is>
      </c>
      <c r="C16">
        <f>COUNTA(NatureList)</f>
        <v/>
      </c>
      <c r="D16" t="inlineStr">
        <is>
          <t>This workbook</t>
        </is>
      </c>
      <c r="E16" t="inlineStr">
        <is>
          <t>Control!C14:C15</t>
        </is>
      </c>
      <c r="F16" t="n">
        <v>2</v>
      </c>
      <c r="G16">
        <f>IF(AND(C16=F16,OR(J16="n/a",J16="OK"),K16="OK"),"OK","DRIFT")</f>
        <v/>
      </c>
      <c r="H16" t="inlineStr">
        <is>
          <t>Workbook</t>
        </is>
      </c>
      <c r="J16" t="inlineStr">
        <is>
          <t>n/a</t>
        </is>
      </c>
      <c r="K16">
        <f>IF(COUNTA(Control!$C$16:$C$20)=0,"OK","SPILL")</f>
        <v/>
      </c>
    </row>
    <row r="17">
      <c r="A17" t="inlineStr">
        <is>
          <t>Significance</t>
        </is>
      </c>
      <c r="B17" t="inlineStr">
        <is>
          <t>SignificanceList</t>
        </is>
      </c>
      <c r="C17">
        <f>COUNTA(SignificanceList)</f>
        <v/>
      </c>
      <c r="D17" t="inlineStr">
        <is>
          <t>This workbook</t>
        </is>
      </c>
      <c r="E17" t="inlineStr">
        <is>
          <t>Control!H14:H17</t>
        </is>
      </c>
      <c r="F17" t="n">
        <v>4</v>
      </c>
      <c r="G17">
        <f>IF(AND(C17=F17,OR(J17="n/a",J17="OK"),K17="OK"),"OK","DRIFT")</f>
        <v/>
      </c>
      <c r="H17" t="inlineStr">
        <is>
          <t>Workbook</t>
        </is>
      </c>
      <c r="J17" t="inlineStr">
        <is>
          <t>n/a</t>
        </is>
      </c>
      <c r="K17">
        <f>IF(COUNTA(Control!$H$18:$H$22)=0,"OK","SPILL")</f>
        <v/>
      </c>
    </row>
    <row r="18">
      <c r="A18" t="inlineStr">
        <is>
          <t>Status</t>
        </is>
      </c>
      <c r="B18" t="inlineStr">
        <is>
          <t>StatusList</t>
        </is>
      </c>
      <c r="C18">
        <f>COUNTA(StatusList)</f>
        <v/>
      </c>
      <c r="D18" t="inlineStr">
        <is>
          <t>This workbook</t>
        </is>
      </c>
      <c r="E18" t="inlineStr">
        <is>
          <t>Control!G14:G21</t>
        </is>
      </c>
      <c r="F18" t="n">
        <v>8</v>
      </c>
      <c r="G18">
        <f>IF(AND(C18=F18,OR(J18="n/a",J18="OK"),K18="OK"),"OK","DRIFT")</f>
        <v/>
      </c>
      <c r="H18" t="inlineStr">
        <is>
          <t>Workbook</t>
        </is>
      </c>
      <c r="J18" t="inlineStr">
        <is>
          <t>n/a</t>
        </is>
      </c>
      <c r="K18">
        <f>IF(COUNTA(Control!$G$22:$G$26)=0,"OK","SPILL")</f>
        <v/>
      </c>
    </row>
    <row r="19">
      <c r="A19" t="inlineStr">
        <is>
          <t>Risk</t>
        </is>
      </c>
      <c r="B19" t="inlineStr">
        <is>
          <t>RiskList</t>
        </is>
      </c>
      <c r="C19">
        <f>COUNTA(RiskList)</f>
        <v/>
      </c>
      <c r="D19" t="inlineStr">
        <is>
          <t>This workbook</t>
        </is>
      </c>
      <c r="E19" t="inlineStr">
        <is>
          <t>Control!K14:K16</t>
        </is>
      </c>
      <c r="F19" t="n">
        <v>3</v>
      </c>
      <c r="G19">
        <f>IF(AND(C19=F19,OR(J19="n/a",J19="OK"),K19="OK"),"OK","DRIFT")</f>
        <v/>
      </c>
      <c r="H19" t="inlineStr">
        <is>
          <t>Workbook</t>
        </is>
      </c>
      <c r="J19" t="inlineStr">
        <is>
          <t>n/a</t>
        </is>
      </c>
      <c r="K19">
        <f>IF(COUNTA(Control!$K$17:$K$21)=0,"OK","SPILL")</f>
        <v/>
      </c>
    </row>
    <row r="20">
      <c r="A20" t="inlineStr">
        <is>
          <t>Claim Status</t>
        </is>
      </c>
      <c r="B20" t="inlineStr">
        <is>
          <t>ClaimStatusList</t>
        </is>
      </c>
      <c r="C20">
        <f>COUNTA(ClaimStatusList)</f>
        <v/>
      </c>
      <c r="D20" t="inlineStr">
        <is>
          <t>Capabilities Brief (VAULT method)</t>
        </is>
      </c>
      <c r="E20" t="inlineStr">
        <is>
          <t>Claims discipline</t>
        </is>
      </c>
      <c r="F20" t="n">
        <v>4</v>
      </c>
      <c r="G20">
        <f>IF(AND(C20=F20,OR(J20="n/a",J20="OK"),K20="OK"),"OK","DRIFT")</f>
        <v/>
      </c>
      <c r="H20" t="inlineStr">
        <is>
          <t>Workbook</t>
        </is>
      </c>
      <c r="J20" t="inlineStr">
        <is>
          <t>n/a</t>
        </is>
      </c>
      <c r="K20">
        <f>IF(COUNTA(Control!$U$18:$U$22)=0,"OK","SPILL")</f>
        <v/>
      </c>
    </row>
    <row r="21">
      <c r="A21" t="inlineStr">
        <is>
          <t>Sensitivity</t>
        </is>
      </c>
      <c r="B21" t="inlineStr">
        <is>
          <t>SensitivityList</t>
        </is>
      </c>
      <c r="C21">
        <f>COUNTA(SensitivityList)</f>
        <v/>
      </c>
      <c r="D21" t="inlineStr">
        <is>
          <t>This workbook (governance vocabulary; no runtime enforces it)</t>
        </is>
      </c>
      <c r="E21" t="inlineStr">
        <is>
          <t>sensitivity_level</t>
        </is>
      </c>
      <c r="F21" t="n">
        <v>4</v>
      </c>
      <c r="G21">
        <f>IF(AND(C21=F21,OR(J21="n/a",J21="OK"),K21="OK"),"OK","DRIFT")</f>
        <v/>
      </c>
      <c r="H21" t="inlineStr">
        <is>
          <t>Workbook</t>
        </is>
      </c>
      <c r="I21" t="inlineStr">
        <is>
          <t>public; internal; restricted; confidential</t>
        </is>
      </c>
      <c r="J21">
        <f>IF(SUMPRODUCT(--EXACT(SensitivityList,{"public";"internal";"restricted";"confidential"}))=4,"OK","DRIFT")</f>
        <v/>
      </c>
      <c r="K21">
        <f>IF(COUNTA(Control!$Y$18:$Y$22)=0,"OK","SPILL")</f>
        <v/>
      </c>
    </row>
    <row r="22">
      <c r="A22" t="inlineStr">
        <is>
          <t>Object Type</t>
        </is>
      </c>
      <c r="B22" t="inlineStr">
        <is>
          <t>ObjectTypeList</t>
        </is>
      </c>
      <c r="C22">
        <f>COUNTA(ObjectTypeList)</f>
        <v/>
      </c>
      <c r="D22" t="inlineStr">
        <is>
          <t>LogicOS Build Spec v3 §1.1</t>
        </is>
      </c>
      <c r="E22" t="inlineStr">
        <is>
          <t>Record/Case/Task/…</t>
        </is>
      </c>
      <c r="F22" t="n">
        <v>6</v>
      </c>
      <c r="G22">
        <f>IF(AND(C22=F22,OR(J22="n/a",J22="OK"),K22="OK"),"OK","DRIFT")</f>
        <v/>
      </c>
      <c r="H22" t="inlineStr">
        <is>
          <t>Workbook</t>
        </is>
      </c>
      <c r="J22" t="inlineStr">
        <is>
          <t>n/a</t>
        </is>
      </c>
      <c r="K22">
        <f>IF(COUNTA(Control!$Z$20:$Z$24)=0,"OK","SPILL")</f>
        <v/>
      </c>
    </row>
    <row r="23">
      <c r="A23" t="inlineStr">
        <is>
          <t>Event Family</t>
        </is>
      </c>
      <c r="B23" t="inlineStr">
        <is>
          <t>EventFamilyList</t>
        </is>
      </c>
      <c r="C23">
        <f>COUNTA(EventFamilyList)</f>
        <v/>
      </c>
      <c r="D23" t="inlineStr">
        <is>
          <t>golden-path/src/audit.js</t>
        </is>
      </c>
      <c r="E23" t="inlineStr">
        <is>
          <t>AUDIT_EVENT_FAMILIES</t>
        </is>
      </c>
      <c r="F23" t="n">
        <v>6</v>
      </c>
      <c r="G23">
        <f>IF(AND(C23=F23,OR(J23="n/a",J23="OK"),K23="OK"),"OK","DRIFT")</f>
        <v/>
      </c>
      <c r="H23" t="inlineStr">
        <is>
          <t>Code</t>
        </is>
      </c>
      <c r="I23" t="inlineStr">
        <is>
          <t>process; transition; role; auth; divergence; system</t>
        </is>
      </c>
      <c r="J23">
        <f>IF(SUMPRODUCT(--EXACT(EventFamilyList,{"process";"transition";"role";"auth";"divergence";"system"}))=6,"OK","DRIFT")</f>
        <v/>
      </c>
      <c r="K23">
        <f>IF(COUNTA(Control!$AA$20:$AA$24)=0,"OK","SPILL")</f>
        <v/>
      </c>
    </row>
    <row r="24">
      <c r="A24" t="inlineStr">
        <is>
          <t>ARCHIEVE Event Family Map</t>
        </is>
      </c>
      <c r="D24" t="inlineStr">
        <is>
          <t>puddlejumper canon.json (ArchieveEventTypeValue -&gt; AuditEventFamily)</t>
        </is>
      </c>
      <c r="E24" t="inlineStr">
        <is>
          <t>ARCHIEVE_EVENT_FAMILY</t>
        </is>
      </c>
      <c r="G24" t="inlineStr">
        <is>
          <t>UNVERIFIABLE</t>
        </is>
      </c>
      <c r="H24" t="inlineStr">
        <is>
          <t>Code (puddlejumper)</t>
        </is>
      </c>
      <c r="I24" t="inlineStr">
        <is>
          <t>cross-repo — human-approved map, revision-pinned</t>
        </is>
      </c>
    </row>
    <row r="25">
      <c r="A25" s="6" t="inlineStr">
        <is>
          <t>DERIVED VIEWS — may cite canon, may never define it</t>
        </is>
      </c>
      <c r="B25" s="7" t="n"/>
      <c r="C25" s="7" t="n"/>
      <c r="D25" s="7" t="n"/>
      <c r="E25" s="7" t="n"/>
      <c r="F25" s="7" t="n"/>
      <c r="G25" s="7" t="n"/>
      <c r="H25" s="7" t="n"/>
    </row>
    <row r="26">
      <c r="A26" s="14" t="inlineStr">
        <is>
          <t>Artifact</t>
        </is>
      </c>
      <c r="B26" s="14" t="inlineStr">
        <is>
          <t>May define</t>
        </is>
      </c>
      <c r="C26" s="14" t="inlineStr">
        <is>
          <t>Must cite</t>
        </is>
      </c>
      <c r="D26" s="14" t="inlineStr">
        <is>
          <t>Drift risk</t>
        </is>
      </c>
    </row>
    <row r="27">
      <c r="A27" t="inlineStr">
        <is>
          <t>PublicLogic_Website_Workbook_FINAL_LOCKED.xlsx</t>
        </is>
      </c>
      <c r="B27" t="inlineStr">
        <is>
          <t>Brand, pricing, hero copy</t>
        </is>
      </c>
      <c r="C27" t="inlineStr">
        <is>
          <t>VAULT wording; "runtime not engine"</t>
        </is>
      </c>
      <c r="D27" t="inlineStr">
        <is>
          <t>High — asserts canon it does not own</t>
        </is>
      </c>
    </row>
    <row r="28">
      <c r="A28" t="inlineStr">
        <is>
          <t>Move Forward — v1 Business Stack.docx</t>
        </is>
      </c>
      <c r="B28" t="inlineStr">
        <is>
          <t>Offer ladder, tiers, 90-day plan</t>
        </is>
      </c>
      <c r="C28" t="inlineStr">
        <is>
          <t>Nothing operational</t>
        </is>
      </c>
      <c r="D28" t="inlineStr">
        <is>
          <t>Low</t>
        </is>
      </c>
    </row>
    <row r="29">
      <c r="A29" t="inlineStr">
        <is>
          <t>Capabilities &amp; Opportunity Brief (Timber Logistics)</t>
        </is>
      </c>
      <c r="B29" t="inlineStr">
        <is>
          <t>Client-specific findings</t>
        </is>
      </c>
      <c r="C29" t="inlineStr">
        <is>
          <t>VAULT; Claim Status vocabulary</t>
        </is>
      </c>
      <c r="D29" t="inlineStr">
        <is>
          <t>Medium — originated Claim Status; now canon here</t>
        </is>
      </c>
    </row>
    <row r="30">
      <c r="A30" t="inlineStr">
        <is>
          <t>github.com/97n8/lab · packages/golden-path</t>
        </is>
      </c>
      <c r="B30" t="inlineStr">
        <is>
          <t>Runtime-enforced vocabularies (see above)</t>
        </is>
      </c>
      <c r="C30" t="inlineStr">
        <is>
          <t>Nothing — this IS canon for those</t>
        </is>
      </c>
      <c r="D30" t="inlineStr">
        <is>
          <t>None. Code is canon.</t>
        </is>
      </c>
    </row>
    <row r="31">
      <c r="A31" t="inlineStr">
        <is>
          <t>github.com/97n8/lab · publiclogic web</t>
        </is>
      </c>
      <c r="B31" t="inlineStr">
        <is>
          <t>Site structure, SEO, routes</t>
        </is>
      </c>
      <c r="C31" t="inlineStr">
        <is>
          <t>Brand + canon guardrails from the Website Workbook</t>
        </is>
      </c>
      <c r="D31" t="inlineStr">
        <is>
          <t>Medium — README restates canon inline</t>
        </is>
      </c>
    </row>
    <row r="32">
      <c r="A32" t="inlineStr">
        <is>
          <t>github.com/97n8/puddlejumper (private)</t>
        </is>
      </c>
      <c r="B32" t="inlineStr">
        <is>
          <t>Unknown — not auditable from here</t>
        </is>
      </c>
      <c r="C32" t="inlineStr">
        <is>
          <t>Everything above</t>
        </is>
      </c>
      <c r="D32" t="inlineStr">
        <is>
          <t>Unassessed</t>
        </is>
      </c>
    </row>
    <row r="35">
      <c r="A35" t="inlineStr">
        <is>
          <t>Open question: PJ's own product artifacts (e.g. the Event Envelope) have no lane in LOCKED_LANES. They are mapped to PROJECT here. Either add a PRODUCT lane in code or accept the mapping — but decide, and record the decision.</t>
        </is>
      </c>
    </row>
    <row r="36">
      <c r="A36" s="6" t="inlineStr">
        <is>
          <t>SUPERSEDED</t>
        </is>
      </c>
      <c r="B36" s="7" t="n"/>
      <c r="C36" s="7" t="n"/>
      <c r="D36" s="7" t="n"/>
      <c r="E36" s="7" t="n"/>
      <c r="F36" s="7" t="n"/>
      <c r="G36" s="7" t="n"/>
      <c r="H36" s="7" t="n"/>
    </row>
    <row r="37">
      <c r="A37" t="inlineStr">
        <is>
          <t>LogicOS Master Build Spec v3.0 (Apr 2026)</t>
        </is>
      </c>
      <c r="B37" t="inlineStr">
        <is>
          <t>Nothing — brand retired</t>
        </is>
      </c>
      <c r="C37" t="inlineStr">
        <is>
          <t>Object model, hierarchy, enforcement boundary, sensitivity survive; harvested into canon</t>
        </is>
      </c>
      <c r="D37" t="inlineStr">
        <is>
          <t>High — names LogicOS as product and PJ as backend control plane. Both false now.</t>
        </is>
      </c>
    </row>
    <row r="38">
      <c r="A38" t="inlineStr">
        <is>
          <t>LogicOS / LogicDash / LogicSuite / Syncronate</t>
        </is>
      </c>
      <c r="B38" t="inlineStr">
        <is>
          <t>Nothing</t>
        </is>
      </c>
      <c r="C38" t="inlineStr">
        <is>
          <t>Retired names</t>
        </is>
      </c>
      <c r="D38" t="inlineStr">
        <is>
          <t>Do not reintroduce</t>
        </is>
      </c>
    </row>
    <row r="39">
      <c r="A39" t="inlineStr">
        <is>
          <t>governanceEngine, chainStore</t>
        </is>
      </c>
      <c r="B39" t="inlineStr">
        <is>
          <t>Nothing</t>
        </is>
      </c>
      <c r="C39" t="inlineStr">
        <is>
          <t>Retired — and "engine" violates canon</t>
        </is>
      </c>
      <c r="D39" t="inlineStr">
        <is>
          <t>Runtime, never engine</t>
        </is>
      </c>
    </row>
    <row r="42">
      <c r="A42" s="6" t="inlineStr">
        <is>
          <t>DERIVED VIEWS — batch 2</t>
        </is>
      </c>
      <c r="B42" s="7" t="n"/>
      <c r="C42" s="7" t="n"/>
      <c r="D42" s="7" t="n"/>
      <c r="E42" s="7" t="n"/>
      <c r="F42" s="7" t="n"/>
      <c r="G42" s="7" t="n"/>
      <c r="H42" s="7" t="n"/>
    </row>
    <row r="43">
      <c r="A43" t="inlineStr">
        <is>
          <t>VAULT Master Build Spec v0.02</t>
        </is>
      </c>
      <c r="B43" t="inlineStr">
        <is>
          <t>Nothing</t>
        </is>
      </c>
      <c r="C43" t="inlineStr">
        <is>
          <t>VAULT doctrine</t>
        </is>
      </c>
      <c r="D43" t="inlineStr">
        <is>
          <t>CRITICAL — redefines VAULT with different pillars</t>
        </is>
      </c>
    </row>
    <row r="44">
      <c r="A44" t="inlineStr">
        <is>
          <t>SYNCHRON8 Build Spec v1.1</t>
        </is>
      </c>
      <c r="B44" t="inlineStr">
        <is>
          <t>Nothing</t>
        </is>
      </c>
      <c r="C44" t="inlineStr">
        <is>
          <t>Everything</t>
        </is>
      </c>
      <c r="D44" t="inlineStr">
        <is>
          <t>CRITICAL — "engine"; depends on prohibited n8n + killed AXIS</t>
        </is>
      </c>
    </row>
    <row r="45">
      <c r="A45" t="inlineStr">
        <is>
          <t>LOGICBRIDGE Build Spec v1.0</t>
        </is>
      </c>
      <c r="B45" t="inlineStr">
        <is>
          <t>Nothing</t>
        </is>
      </c>
      <c r="C45" t="inlineStr">
        <is>
          <t>Connector contract</t>
        </is>
      </c>
      <c r="D45" t="inlineStr">
        <is>
          <t>HIGH — superseded by golden-path connector.js</t>
        </is>
      </c>
    </row>
    <row r="46">
      <c r="A46" t="inlineStr">
        <is>
          <t>PuddleJumper Build Spec v1.0</t>
        </is>
      </c>
      <c r="B46" t="inlineStr">
        <is>
          <t>Nothing</t>
        </is>
      </c>
      <c r="C46" t="inlineStr">
        <is>
          <t>PJ identity</t>
        </is>
      </c>
      <c r="D46" t="inlineStr">
        <is>
          <t>CRITICAL — subordinates PJ to LogicSuite</t>
        </is>
      </c>
    </row>
    <row r="47">
      <c r="A47" t="inlineStr">
        <is>
          <t>Vocabularies occupy Control rows 14-28. Doctrine prose begins at row 29 and must never be written into a vocabulary column above it. The spill guard watches the five rows below each named range.</t>
        </is>
      </c>
      <c r="B47" t="inlineStr">
        <is>
          <t>PJ single-brand rule (keep this)</t>
        </is>
      </c>
      <c r="C47" t="inlineStr">
        <is>
          <t>PJ identity</t>
        </is>
      </c>
      <c r="D47" t="inlineStr">
        <is>
          <t>HIGH — "Workflow Engine"</t>
        </is>
      </c>
    </row>
    <row r="48">
      <c r="A48" t="inlineStr">
        <is>
          <t>LogicOS Ecosystem Spec v2.0</t>
        </is>
      </c>
      <c r="B48" t="inlineStr">
        <is>
          <t>Nothing</t>
        </is>
      </c>
      <c r="C48" t="inlineStr">
        <is>
          <t>Everything</t>
        </is>
      </c>
      <c r="D48" t="inlineStr">
        <is>
          <t>SUPERSEDED — brand retired</t>
        </is>
      </c>
    </row>
    <row r="49">
      <c r="A49" t="inlineStr">
        <is>
          <t>PublicLogic Canon 5-Page v1.0</t>
        </is>
      </c>
      <c r="B49" t="inlineStr">
        <is>
          <t>Positioning, COPEC, offer prices</t>
        </is>
      </c>
      <c r="C49" t="inlineStr">
        <is>
          <t>Product definitions</t>
        </is>
      </c>
      <c r="D49" t="inlineStr">
        <is>
          <t>CRITICAL — redefines VAULT, ARCHIEVE, PJ; uses "engine"</t>
        </is>
      </c>
    </row>
    <row r="50">
      <c r="A50" t="inlineStr">
        <is>
          <t>Cyclical Services Model v1.0</t>
        </is>
      </c>
      <c r="B50" t="inlineStr">
        <is>
          <t>Cycle, funding mechanism, cost treatment</t>
        </is>
      </c>
      <c r="C50" t="inlineStr">
        <is>
          <t>VAULT, CaseSpace</t>
        </is>
      </c>
      <c r="D50" t="inlineStr">
        <is>
          <t>Low</t>
        </is>
      </c>
    </row>
    <row r="51">
      <c r="A51" t="inlineStr">
        <is>
          <t>Erving 90-Day Framework v6</t>
        </is>
      </c>
      <c r="B51" t="inlineStr">
        <is>
          <t>Nothing product-related</t>
        </is>
      </c>
      <c r="C51" t="inlineStr">
        <is>
          <t>Nothing</t>
        </is>
      </c>
      <c r="D51" t="inlineStr">
        <is>
          <t>None — not canon</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60"/>
  <sheetViews>
    <sheetView workbookViewId="0">
      <pane ySplit="4" topLeftCell="A5" activePane="bottomLeft" state="frozen"/>
      <selection pane="bottomLeft" activeCell="A1" sqref="A1"/>
    </sheetView>
  </sheetViews>
  <sheetFormatPr baseColWidth="8" defaultRowHeight="15"/>
  <cols>
    <col width="26" customWidth="1" min="1" max="1"/>
    <col width="86" customWidth="1" min="2" max="2"/>
    <col width="34" customWidth="1" min="3" max="3"/>
    <col width="11" customWidth="1" min="4" max="4"/>
    <col width="52" customWidth="1" min="5" max="5"/>
  </cols>
  <sheetData>
    <row r="1">
      <c r="A1" s="12" t="inlineStr">
        <is>
          <t>Canon Collisions — DECISION REQUIRED</t>
        </is>
      </c>
    </row>
    <row r="2">
      <c r="A2" s="13" t="inlineStr">
        <is>
          <t>Six documents claim canon authority over the same four terms and disagree. Nothing below is resolved. A term with more than one live definition has no definition.</t>
        </is>
      </c>
    </row>
    <row r="4">
      <c r="A4" s="14" t="inlineStr">
        <is>
          <t>Term</t>
        </is>
      </c>
      <c r="B4" s="14" t="inlineStr">
        <is>
          <t>Claimed definition</t>
        </is>
      </c>
      <c r="C4" s="14" t="inlineStr">
        <is>
          <t>Source document</t>
        </is>
      </c>
      <c r="D4" s="14" t="inlineStr">
        <is>
          <t>Dated</t>
        </is>
      </c>
      <c r="E4" s="14" t="inlineStr">
        <is>
          <t>Conflicts with standing canon?</t>
        </is>
      </c>
    </row>
    <row r="5">
      <c r="A5" t="inlineStr">
        <is>
          <t>VAULT</t>
        </is>
      </c>
      <c r="B5" t="inlineStr">
        <is>
          <t>Doctrine acronym: Verification · Authority · Utility · Legitimacy · Transfer</t>
        </is>
      </c>
      <c r="C5" t="inlineStr">
        <is>
          <t>Standing canon (Nate, authored)</t>
        </is>
      </c>
      <c r="D5" t="inlineStr">
        <is>
          <t>—</t>
        </is>
      </c>
      <c r="E5" t="inlineStr">
        <is>
          <t>BASELINE</t>
        </is>
      </c>
    </row>
    <row r="6">
      <c r="A6" s="15" t="inlineStr">
        <is>
          <t>VAULT</t>
        </is>
      </c>
      <c r="B6" s="15" t="inlineStr">
        <is>
          <t>Governance architecture. Four Pillars: Authority, Accountability, Boundary, Continuity. Not an acronym.</t>
        </is>
      </c>
      <c r="C6" s="15" t="inlineStr">
        <is>
          <t>VAULT Master Build Spec v0.02</t>
        </is>
      </c>
      <c r="D6" s="15" t="inlineStr">
        <is>
          <t>Mar 2026</t>
        </is>
      </c>
      <c r="E6" s="15" t="inlineStr">
        <is>
          <t>YES — different letters, and Accountability is explicitly not canon</t>
        </is>
      </c>
    </row>
    <row r="7">
      <c r="A7" s="15" t="inlineStr">
        <is>
          <t>VAULT</t>
        </is>
      </c>
      <c r="B7" s="15" t="inlineStr">
        <is>
          <t>Doctrine: Verified, Authorized, Utility, Legitimate, Transfer. Plus "Vault" as a product surface.</t>
        </is>
      </c>
      <c r="C7" s="15" t="inlineStr">
        <is>
          <t>LogicOS Master Build Spec v3.0</t>
        </is>
      </c>
      <c r="D7" s="15" t="inlineStr">
        <is>
          <t>Apr 2026</t>
        </is>
      </c>
      <c r="E7" s="15" t="inlineStr">
        <is>
          <t>YES — wording drift + overloads the name</t>
        </is>
      </c>
    </row>
    <row r="8">
      <c r="A8" s="15" t="inlineStr">
        <is>
          <t>VAULT</t>
        </is>
      </c>
      <c r="B8" s="15" t="inlineStr">
        <is>
          <t>The Continuity Infrastructure: capture, storage, preservation, retrieval, governance.</t>
        </is>
      </c>
      <c r="C8" s="15" t="inlineStr">
        <is>
          <t>PublicLogic Canon 5-Page v1.0</t>
        </is>
      </c>
      <c r="D8" s="15" t="inlineStr">
        <is>
          <t>—</t>
        </is>
      </c>
      <c r="E8" s="15" t="inlineStr">
        <is>
          <t>YES — infrastructure, not doctrine</t>
        </is>
      </c>
    </row>
    <row r="9">
      <c r="A9" s="15" t="inlineStr">
        <is>
          <t>VAULT</t>
        </is>
      </c>
      <c r="B9" s="15" t="inlineStr">
        <is>
          <t>A runtime namespace/module inside the PJ container.</t>
        </is>
      </c>
      <c r="C9" s="15" t="inlineStr">
        <is>
          <t>PuddleJumper Build Spec v1.0</t>
        </is>
      </c>
      <c r="D9" s="15" t="inlineStr">
        <is>
          <t>—</t>
        </is>
      </c>
      <c r="E9" s="15" t="inlineStr">
        <is>
          <t>YES — a module, not doctrine</t>
        </is>
      </c>
    </row>
    <row r="11">
      <c r="A11" t="inlineStr">
        <is>
          <t>PuddleJumper</t>
        </is>
      </c>
      <c r="B11" t="inlineStr">
        <is>
          <t>Governance Process Runtime. The product. Never "engine."</t>
        </is>
      </c>
      <c r="C11" t="inlineStr">
        <is>
          <t>Standing canon</t>
        </is>
      </c>
      <c r="D11" t="inlineStr">
        <is>
          <t>—</t>
        </is>
      </c>
      <c r="E11" t="inlineStr">
        <is>
          <t>BASELINE</t>
        </is>
      </c>
    </row>
    <row r="12">
      <c r="A12" s="15" t="inlineStr">
        <is>
          <t>PuddleJumper</t>
        </is>
      </c>
      <c r="B12" s="15" t="inlineStr">
        <is>
          <t>LogicSuite Runtime Platform. Monolith on Fly.io housing VAULT, ARCHIEVE, SEAL, AXIS, SYNCHRON8, LOGICBRIDGE, SYNCRONATE, FormKey, Module Maker.</t>
        </is>
      </c>
      <c r="C12" s="15" t="inlineStr">
        <is>
          <t>PuddleJumper Build Spec v1.0</t>
        </is>
      </c>
      <c r="D12" s="15" t="inlineStr">
        <is>
          <t>—</t>
        </is>
      </c>
      <c r="E12" s="15" t="inlineStr">
        <is>
          <t>YES — subordinate to LogicSuite</t>
        </is>
      </c>
    </row>
    <row r="13">
      <c r="A13" s="15" t="inlineStr">
        <is>
          <t>PuddleJumper</t>
        </is>
      </c>
      <c r="B13" s="15" t="inlineStr">
        <is>
          <t>Control Plane · Governed AI Assistant · Workflow Engine · Workspace Manager · AI Connector</t>
        </is>
      </c>
      <c r="C13" s="15" t="inlineStr">
        <is>
          <t>PuddleJumper Concept Spec v1.2</t>
        </is>
      </c>
      <c r="D13" s="15" t="inlineStr">
        <is>
          <t>Apr 2026</t>
        </is>
      </c>
      <c r="E13" s="15" t="inlineStr">
        <is>
          <t>YES — uses "engine"</t>
        </is>
      </c>
    </row>
    <row r="14">
      <c r="A14" s="15" t="inlineStr">
        <is>
          <t>PuddleJumper</t>
        </is>
      </c>
      <c r="B14" s="15" t="inlineStr">
        <is>
          <t>Backend control plane. Never seen by operators or residents. LogicOS is the product.</t>
        </is>
      </c>
      <c r="C14" s="15" t="inlineStr">
        <is>
          <t>LogicOS Master Build Spec v3.0</t>
        </is>
      </c>
      <c r="D14" s="15" t="inlineStr">
        <is>
          <t>Apr 2026</t>
        </is>
      </c>
      <c r="E14" s="15" t="inlineStr">
        <is>
          <t>YES — PJ is not the product</t>
        </is>
      </c>
    </row>
    <row r="15">
      <c r="A15" s="15" t="inlineStr">
        <is>
          <t>PuddleJumper</t>
        </is>
      </c>
      <c r="B15" s="15" t="inlineStr">
        <is>
          <t>The Stewardship Platform: onboarding, deployment, configuration, reviews, sustainment.</t>
        </is>
      </c>
      <c r="C15" s="15" t="inlineStr">
        <is>
          <t>PublicLogic Canon 5-Page v1.0</t>
        </is>
      </c>
      <c r="D15" s="15" t="inlineStr">
        <is>
          <t>—</t>
        </is>
      </c>
      <c r="E15" s="15" t="inlineStr">
        <is>
          <t>YES — a services platform, not a runtime</t>
        </is>
      </c>
    </row>
    <row r="17">
      <c r="A17" t="inlineStr">
        <is>
          <t>ARCHIEVE</t>
        </is>
      </c>
      <c r="B17" t="inlineStr">
        <is>
          <t>Seal/stamp execution layer.</t>
        </is>
      </c>
      <c r="C17" t="inlineStr">
        <is>
          <t>Standing canon</t>
        </is>
      </c>
      <c r="D17" t="inlineStr">
        <is>
          <t>—</t>
        </is>
      </c>
      <c r="E17" t="inlineStr">
        <is>
          <t>BASELINE</t>
        </is>
      </c>
    </row>
    <row r="18">
      <c r="A18" s="15" t="inlineStr">
        <is>
          <t>ARCHIEVE</t>
        </is>
      </c>
      <c r="B18" s="15" t="inlineStr">
        <is>
          <t>THE RULES ENGINE — retention, compliance, governance, verification.</t>
        </is>
      </c>
      <c r="C18" s="15" t="inlineStr">
        <is>
          <t>PublicLogic Canon 5-Page v1.0</t>
        </is>
      </c>
      <c r="D18" s="15" t="inlineStr">
        <is>
          <t>—</t>
        </is>
      </c>
      <c r="E18" s="15" t="inlineStr">
        <is>
          <t>YES — "engine", and rules ≠ seal</t>
        </is>
      </c>
    </row>
    <row r="19">
      <c r="A19" t="inlineStr">
        <is>
          <t>ARCHIEVE</t>
        </is>
      </c>
      <c r="B19" t="inlineStr">
        <is>
          <t>Terminal lifecycle state (FORM → CaseSpace → DocDump → ARCHIEVE).</t>
        </is>
      </c>
      <c r="C19" t="inlineStr">
        <is>
          <t>This workbook</t>
        </is>
      </c>
      <c r="D19" t="inlineStr">
        <is>
          <t>—</t>
        </is>
      </c>
      <c r="E19" t="inlineStr">
        <is>
          <t>Compatible, but a state is not a layer</t>
        </is>
      </c>
    </row>
    <row r="21">
      <c r="A21" s="15" t="inlineStr">
        <is>
          <t>"engine" (prohibited)</t>
        </is>
      </c>
      <c r="B21" s="15" t="inlineStr">
        <is>
          <t>governanceEngine, chainStore</t>
        </is>
      </c>
      <c r="C21" s="15" t="inlineStr">
        <is>
          <t>LogicOS Master Build Spec v3.0</t>
        </is>
      </c>
      <c r="D21" s="15" t="inlineStr">
        <is>
          <t>Apr 2026</t>
        </is>
      </c>
      <c r="E21" s="15" t="inlineStr">
        <is>
          <t>YES</t>
        </is>
      </c>
    </row>
    <row r="22">
      <c r="A22" s="15" t="inlineStr">
        <is>
          <t>"engine" (prohibited)</t>
        </is>
      </c>
      <c r="B22" s="15" t="inlineStr">
        <is>
          <t>SYNCHRON8 — Governed Automation Engine</t>
        </is>
      </c>
      <c r="C22" s="15" t="inlineStr">
        <is>
          <t>SYNCHRON8 Build Spec v1.1</t>
        </is>
      </c>
      <c r="D22" s="15" t="inlineStr">
        <is>
          <t>—</t>
        </is>
      </c>
      <c r="E22" s="15" t="inlineStr">
        <is>
          <t>YES</t>
        </is>
      </c>
    </row>
    <row r="23">
      <c r="A23" s="15" t="inlineStr">
        <is>
          <t>"engine" (prohibited)</t>
        </is>
      </c>
      <c r="B23" s="15" t="inlineStr">
        <is>
          <t>Workflow Engine</t>
        </is>
      </c>
      <c r="C23" s="15" t="inlineStr">
        <is>
          <t>PuddleJumper Concept Spec v1.2</t>
        </is>
      </c>
      <c r="D23" s="15" t="inlineStr">
        <is>
          <t>Apr 2026</t>
        </is>
      </c>
      <c r="E23" s="15" t="inlineStr">
        <is>
          <t>YES</t>
        </is>
      </c>
    </row>
    <row r="24">
      <c r="A24" s="15" t="inlineStr">
        <is>
          <t>"engine" (prohibited)</t>
        </is>
      </c>
      <c r="B24" s="15" t="inlineStr">
        <is>
          <t>The Continuity Engine; ARCHIEVE the Rules Engine; LogicSuite the engine room</t>
        </is>
      </c>
      <c r="C24" s="15" t="inlineStr">
        <is>
          <t>Canon 5-Page; LogicOS Ecosystem v2</t>
        </is>
      </c>
      <c r="D24" s="15" t="inlineStr">
        <is>
          <t>—</t>
        </is>
      </c>
      <c r="E24" s="15" t="inlineStr">
        <is>
          <t>YES — four documents</t>
        </is>
      </c>
    </row>
    <row r="26">
      <c r="A26" t="inlineStr">
        <is>
          <t>n8n</t>
        </is>
      </c>
      <c r="B26" t="inlineStr">
        <is>
          <t>"Not n8n. n8drive = monorepo folder name only."</t>
        </is>
      </c>
      <c r="C26" t="inlineStr">
        <is>
          <t>LogicOS Master Build Spec v3.0</t>
        </is>
      </c>
      <c r="D26" t="inlineStr">
        <is>
          <t>Apr 2026</t>
        </is>
      </c>
      <c r="E26" t="inlineStr">
        <is>
          <t>BASELINE</t>
        </is>
      </c>
    </row>
    <row r="27">
      <c r="A27" s="15" t="inlineStr">
        <is>
          <t>n8n</t>
        </is>
      </c>
      <c r="B27" s="15" t="inlineStr">
        <is>
          <t>SYNCHRON8 depends on n8n (via AXIS).</t>
        </is>
      </c>
      <c r="C27" s="15" t="inlineStr">
        <is>
          <t>SYNCHRON8 Build Spec v1.1</t>
        </is>
      </c>
      <c r="D27" s="15" t="inlineStr">
        <is>
          <t>—</t>
        </is>
      </c>
      <c r="E27" s="15" t="inlineStr">
        <is>
          <t>YES — direct contradiction</t>
        </is>
      </c>
    </row>
    <row r="29">
      <c r="A29" t="inlineStr">
        <is>
          <t>AXIS / Module Maker / LogicSuite</t>
        </is>
      </c>
      <c r="B29" t="inlineStr">
        <is>
          <t>On the kill list. Removed.</t>
        </is>
      </c>
      <c r="C29" t="inlineStr">
        <is>
          <t>LogicOS Master Build Spec v3.0</t>
        </is>
      </c>
      <c r="D29" t="inlineStr">
        <is>
          <t>Apr 2026</t>
        </is>
      </c>
      <c r="E29" t="inlineStr">
        <is>
          <t>BASELINE</t>
        </is>
      </c>
    </row>
    <row r="30">
      <c r="A30" s="15" t="inlineStr">
        <is>
          <t>AXIS / Module Maker / LogicSuite</t>
        </is>
      </c>
      <c r="B30" s="15" t="inlineStr">
        <is>
          <t>Load-bearing: PJ is the "LogicSuite Runtime Platform" and houses AXIS + Module Maker. SYNCHRON8 depends on AXIS.</t>
        </is>
      </c>
      <c r="C30" s="15" t="inlineStr">
        <is>
          <t>PuddleJumper + SYNCHRON8 Build Specs</t>
        </is>
      </c>
      <c r="D30" s="15" t="inlineStr">
        <is>
          <t>—</t>
        </is>
      </c>
      <c r="E30" s="15" t="inlineStr">
        <is>
          <t>YES — killed yet required</t>
        </is>
      </c>
    </row>
    <row r="32">
      <c r="A32" t="inlineStr">
        <is>
          <t>Connector layer</t>
        </is>
      </c>
      <c r="B32" t="inlineStr">
        <is>
          <t>LOGICBRIDGE — governed connector builder for legacy municipal systems</t>
        </is>
      </c>
      <c r="C32" t="inlineStr">
        <is>
          <t>LOGICBRIDGE Build Spec v1.0</t>
        </is>
      </c>
      <c r="D32" t="inlineStr">
        <is>
          <t>—</t>
        </is>
      </c>
      <c r="E32" t="inlineStr">
        <is>
          <t>Three competing layers</t>
        </is>
      </c>
    </row>
    <row r="33">
      <c r="A33" t="inlineStr">
        <is>
          <t>Connector layer</t>
        </is>
      </c>
      <c r="B33" t="inlineStr">
        <is>
          <t>Syncronate — feed sync and source management</t>
        </is>
      </c>
      <c r="C33" t="inlineStr">
        <is>
          <t>LogicOS Ecosystem Spec v2.0</t>
        </is>
      </c>
      <c r="D33" t="inlineStr">
        <is>
          <t>—</t>
        </is>
      </c>
      <c r="E33" t="inlineStr">
        <is>
          <t>Three competing layers</t>
        </is>
      </c>
    </row>
    <row r="34">
      <c r="A34" t="inlineStr">
        <is>
          <t>Connector layer</t>
        </is>
      </c>
      <c r="B34" t="inlineStr">
        <is>
          <t>defineConnector: receive → normalize → resolve → receipt</t>
        </is>
      </c>
      <c r="C34" t="inlineStr">
        <is>
          <t>golden-path/src/connector.js</t>
        </is>
      </c>
      <c r="D34" t="inlineStr">
        <is>
          <t>shipped</t>
        </is>
      </c>
      <c r="E34" t="inlineStr">
        <is>
          <t>THIS ONE IS RUNNING CODE</t>
        </is>
      </c>
    </row>
    <row r="36">
      <c r="A36" t="inlineStr">
        <is>
          <t>LogicCommons</t>
        </is>
      </c>
      <c r="B36" t="inlineStr">
        <is>
          <t>Killed. On the kill list as a route/module.</t>
        </is>
      </c>
      <c r="C36" t="inlineStr">
        <is>
          <t>LogicOS Master Build Spec v3.0</t>
        </is>
      </c>
      <c r="D36" t="inlineStr">
        <is>
          <t>Apr 2026</t>
        </is>
      </c>
      <c r="E36" t="inlineStr">
        <is>
          <t>—</t>
        </is>
      </c>
    </row>
    <row r="37">
      <c r="A37" t="inlineStr">
        <is>
          <t>LogicCommons</t>
        </is>
      </c>
      <c r="B37" t="inlineStr">
        <is>
          <t>Shipped V1 runtime: SQLite/WAL, trigger-enforced audit_events, six-surface nav, PRR state machine.</t>
        </is>
      </c>
      <c r="C37" t="inlineStr">
        <is>
          <t>Prior build work</t>
        </is>
      </c>
      <c r="D37" t="inlineStr">
        <is>
          <t>—</t>
        </is>
      </c>
      <c r="E37" t="inlineStr">
        <is>
          <t>Contradicts the kill</t>
        </is>
      </c>
    </row>
    <row r="38">
      <c r="A38" t="inlineStr">
        <is>
          <t>LogicCommons</t>
        </is>
      </c>
      <c r="B38" t="inlineStr">
        <is>
          <t>Layer 1 of the offer ladder — free public templates and checklists.</t>
        </is>
      </c>
      <c r="C38" t="inlineStr">
        <is>
          <t>Move Forward v1 Business Stack</t>
        </is>
      </c>
      <c r="D38" t="inlineStr">
        <is>
          <t>Jun 2026</t>
        </is>
      </c>
      <c r="E38" t="inlineStr">
        <is>
          <t>Different thing, same name</t>
        </is>
      </c>
    </row>
    <row r="40">
      <c r="A40" t="inlineStr">
        <is>
          <t>Permit &amp; Bridge</t>
        </is>
      </c>
      <c r="B40" t="inlineStr">
        <is>
          <t>Layer 2 offer tier: "I need help navigating." Separate product, coming-soon.</t>
        </is>
      </c>
      <c r="C40" t="inlineStr">
        <is>
          <t>Business Stack; site README</t>
        </is>
      </c>
      <c r="D40" t="inlineStr">
        <is>
          <t>Jun 2026</t>
        </is>
      </c>
      <c r="E40" t="inlineStr">
        <is>
          <t>BASELINE</t>
        </is>
      </c>
    </row>
    <row r="41">
      <c r="A41" t="inlineStr">
        <is>
          <t>Permit &amp; Bridge</t>
        </is>
      </c>
      <c r="B41" t="inlineStr">
        <is>
          <t>Not to be confused with LOGICBRIDGE (connector builder). Unrelated.</t>
        </is>
      </c>
      <c r="C41" t="inlineStr">
        <is>
          <t>—</t>
        </is>
      </c>
      <c r="D41" t="inlineStr">
        <is>
          <t>—</t>
        </is>
      </c>
      <c r="E41" t="inlineStr">
        <is>
          <t>Naming hazard</t>
        </is>
      </c>
    </row>
    <row r="44">
      <c r="A44" s="6" t="inlineStr">
        <is>
          <t>DECISIONS REQUIRED</t>
        </is>
      </c>
      <c r="B44" s="7" t="n"/>
      <c r="C44" s="7" t="n"/>
      <c r="D44" s="7" t="n"/>
      <c r="E44" s="7" t="n"/>
    </row>
    <row r="45">
      <c r="A45" t="inlineStr">
        <is>
          <t>1.</t>
        </is>
      </c>
      <c r="B45" s="16" t="inlineStr">
        <is>
          <t>Is VAULT doctrine (an acronym) or infrastructure (a module)? It cannot be both. If doctrine: retire "Vault" as a product surface name.</t>
        </is>
      </c>
    </row>
    <row r="46">
      <c r="A46" t="inlineStr">
        <is>
          <t>2.</t>
        </is>
      </c>
      <c r="B46" s="16" t="inlineStr">
        <is>
          <t>Does VAULT contain Authority or Accountability? The VAULT Build Spec says Accountability. The site README says Authority, not Accountability.</t>
        </is>
      </c>
    </row>
    <row r="47">
      <c r="A47" t="inlineStr">
        <is>
          <t>3.</t>
        </is>
      </c>
      <c r="B47" s="16" t="inlineStr">
        <is>
          <t>Is PuddleJumper the product, or a backend control plane beneath LogicOS? LogicOS is retired — so PJ is the product. Confirm and kill the four contradicting specs.</t>
        </is>
      </c>
    </row>
    <row r="48">
      <c r="A48" t="inlineStr">
        <is>
          <t>4.</t>
        </is>
      </c>
      <c r="B48" s="16" t="inlineStr">
        <is>
          <t>Is ARCHIEVE a rules engine, a seal layer, or a lifecycle state? Currently all three.</t>
        </is>
      </c>
    </row>
    <row r="49">
      <c r="A49" t="inlineStr">
        <is>
          <t>5.</t>
        </is>
      </c>
      <c r="B49" s="16" t="inlineStr">
        <is>
          <t>Does the "never engine" rule apply retroactively? Four specs use it, including as component names (governanceEngine, chainStore).</t>
        </is>
      </c>
    </row>
    <row r="50">
      <c r="A50" t="inlineStr">
        <is>
          <t>6.</t>
        </is>
      </c>
      <c r="B50" s="16" t="inlineStr">
        <is>
          <t>n8n: prohibited, or a SYNCHRON8 dependency via AXIS? Both are written down.</t>
        </is>
      </c>
    </row>
    <row r="51">
      <c r="A51" t="inlineStr">
        <is>
          <t>7.</t>
        </is>
      </c>
      <c r="B51" s="16" t="inlineStr">
        <is>
          <t>AXIS, Module Maker, LogicSuite: killed, or load-bearing? PuddleJumper Build Spec cannot run without them.</t>
        </is>
      </c>
    </row>
    <row r="52">
      <c r="A52" t="inlineStr">
        <is>
          <t>8.</t>
        </is>
      </c>
      <c r="B52" s="16" t="inlineStr">
        <is>
          <t>Which connector layer is canon: LOGICBRIDGE, Syncronate, or golden-path connector.js? Only one is running code.</t>
        </is>
      </c>
    </row>
    <row r="53">
      <c r="A53" t="inlineStr">
        <is>
          <t>9.</t>
        </is>
      </c>
      <c r="B53" s="16" t="inlineStr">
        <is>
          <t>LogicCommons: killed route, shipped runtime, or free-template tier? Two of these need new names.</t>
        </is>
      </c>
    </row>
    <row r="54">
      <c r="A54" t="inlineStr">
        <is>
          <t>10.</t>
        </is>
      </c>
      <c r="B54" s="16" t="inlineStr">
        <is>
          <t>Do the Build Specs describe TARGET STATE or CURRENT STATE? Three say target state explicitly. Target state is not canon — it is a proposal.</t>
        </is>
      </c>
    </row>
    <row r="56">
      <c r="A56" s="14" t="inlineStr">
        <is>
          <t>NOT CANON — no reconciliation needed</t>
        </is>
      </c>
    </row>
    <row r="57">
      <c r="A57" t="inlineStr">
        <is>
          <t>Boudreau_Erving_90-Day_Framework_v6.pdf</t>
        </is>
      </c>
      <c r="B57" t="inlineStr">
        <is>
          <t>Job application artifact. Names no PublicLogic product. Nothing to reconcile.</t>
        </is>
      </c>
    </row>
    <row r="58">
      <c r="A58" t="inlineStr">
        <is>
          <t>PublicLogic_Cyclical_Services_Model.xlsx</t>
        </is>
      </c>
      <c r="B58" t="inlineStr">
        <is>
          <t>Services and funding model. May define the cycle and cost treatment; defines no operational vocabulary. Cites VAULT and CaseSpace — must cite, not define.</t>
        </is>
      </c>
    </row>
    <row r="60">
      <c r="A60" t="inlineStr">
        <is>
          <t>NOTE: SYNCHRON8 Build Spec names its repository as 97n8/puddlejumper · src/modules/synchron8/. That repo is private and could not be audited. It defines vocabularies. Until it is read, this registry is incomplete.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7"/>
  <sheetViews>
    <sheetView workbookViewId="0">
      <selection activeCell="A1" sqref="A1"/>
    </sheetView>
  </sheetViews>
  <sheetFormatPr baseColWidth="8" defaultRowHeight="15"/>
  <cols>
    <col width="48.13000106811523" customWidth="1" min="1" max="1"/>
    <col width="16.1299991607666" customWidth="1" min="2" max="2"/>
    <col width="32.5" customWidth="1" min="3" max="3"/>
    <col width="8.380000114440918" customWidth="1" min="4" max="4"/>
    <col width="22.1299991607666" customWidth="1" min="5" max="5"/>
    <col width="17" customWidth="1" min="6" max="6"/>
    <col width="7.75" customWidth="1" min="7" max="7"/>
    <col width="9.5" customWidth="1" min="8" max="8"/>
    <col width="14.5" customWidth="1" min="9" max="9"/>
    <col width="9.75" customWidth="1" min="10" max="10"/>
  </cols>
  <sheetData>
    <row r="1">
      <c r="A1" s="8" t="inlineStr">
        <is>
          <t>Control</t>
        </is>
      </c>
    </row>
    <row r="2">
      <c r="A2" s="2" t="inlineStr">
        <is>
          <t>Named configuration, edition gates, and controlled vocabularies</t>
        </is>
      </c>
    </row>
    <row r="4">
      <c r="A4" s="9" t="inlineStr">
        <is>
          <t>Workbook Edition</t>
        </is>
      </c>
      <c r="B4" s="3" t="inlineStr">
        <is>
          <t>Duo</t>
        </is>
      </c>
      <c r="C4" s="3" t="inlineStr">
        <is>
          <t>Single / Duo / Team</t>
        </is>
      </c>
    </row>
    <row r="5">
      <c r="A5" s="4" t="inlineStr">
        <is>
          <t>Current Runtime</t>
        </is>
      </c>
      <c r="B5" t="inlineStr">
        <is>
          <t>PuddleJumper</t>
        </is>
      </c>
      <c r="C5" t="inlineStr">
        <is>
          <t>Observation layer</t>
        </is>
      </c>
    </row>
    <row r="6">
      <c r="A6" s="4" t="inlineStr">
        <is>
          <t>Primary Doctrine</t>
        </is>
      </c>
      <c r="B6" t="inlineStr">
        <is>
          <t>Observe, do not own</t>
        </is>
      </c>
      <c r="C6" t="inlineStr">
        <is>
          <t>PJ publishes governed facts</t>
        </is>
      </c>
    </row>
    <row r="7">
      <c r="A7" s="4" t="inlineStr">
        <is>
          <t>Default Lifecycle</t>
        </is>
      </c>
      <c r="B7" t="inlineStr">
        <is>
          <t>CaseSpace</t>
        </is>
      </c>
      <c r="C7" t="inlineStr">
        <is>
          <t>FORM / CaseSpace / DocDump / ARCHIEVE</t>
        </is>
      </c>
    </row>
    <row r="8">
      <c r="A8" s="4" t="inlineStr">
        <is>
          <t>Default Nature</t>
        </is>
      </c>
      <c r="B8" t="inlineStr">
        <is>
          <t>Template</t>
        </is>
      </c>
      <c r="C8" t="inlineStr">
        <is>
          <t>Template / Instance</t>
        </is>
      </c>
    </row>
    <row r="9">
      <c r="A9" s="4" t="inlineStr">
        <is>
          <t>Event Vocabulary Mode</t>
        </is>
      </c>
      <c r="B9" t="inlineStr">
        <is>
          <t>Closed</t>
        </is>
      </c>
      <c r="C9" t="inlineStr">
        <is>
          <t>Closed vocabulary unless canon changes</t>
        </is>
      </c>
    </row>
    <row r="13">
      <c r="A13" s="3" t="inlineStr">
        <is>
          <t>Editions</t>
        </is>
      </c>
      <c r="B13" s="3" t="inlineStr">
        <is>
          <t>Lane</t>
        </is>
      </c>
      <c r="C13" s="3" t="inlineStr">
        <is>
          <t>Nature</t>
        </is>
      </c>
      <c r="D13" s="3" t="inlineStr">
        <is>
          <t>Lifecycle</t>
        </is>
      </c>
      <c r="E13" s="3" t="inlineStr">
        <is>
          <t>ArtifactFamily</t>
        </is>
      </c>
      <c r="F13" s="3" t="inlineStr">
        <is>
          <t>EventTypes</t>
        </is>
      </c>
      <c r="G13" s="3" t="inlineStr">
        <is>
          <t>Statuses</t>
        </is>
      </c>
      <c r="H13" s="3" t="inlineStr">
        <is>
          <t>Significance</t>
        </is>
      </c>
      <c r="I13" s="3" t="inlineStr">
        <is>
          <t>Sources</t>
        </is>
      </c>
      <c r="J13" s="3" t="inlineStr">
        <is>
          <t>Consumers</t>
        </is>
      </c>
      <c r="K13" s="14" t="inlineStr">
        <is>
          <t>Risk</t>
        </is>
      </c>
      <c r="L13" s="14" t="inlineStr">
        <is>
          <t>Resolved</t>
        </is>
      </c>
      <c r="M13" s="14" t="inlineStr">
        <is>
          <t>TaskStatus</t>
        </is>
      </c>
      <c r="N13" s="14" t="inlineStr">
        <is>
          <t>EvidenceStatus</t>
        </is>
      </c>
      <c r="O13" s="14" t="inlineStr">
        <is>
          <t>YesNo</t>
        </is>
      </c>
      <c r="P13" s="14" t="inlineStr">
        <is>
          <t>Cases</t>
        </is>
      </c>
      <c r="Q13" s="14" t="inlineStr">
        <is>
          <t>ConnectorType</t>
        </is>
      </c>
      <c r="R13" s="14" t="inlineStr">
        <is>
          <t>SignalKind</t>
        </is>
      </c>
      <c r="S13" s="14" t="inlineStr">
        <is>
          <t>Decision</t>
        </is>
      </c>
      <c r="T13" s="14" t="inlineStr">
        <is>
          <t>Resolution</t>
        </is>
      </c>
      <c r="U13" s="14" t="inlineStr">
        <is>
          <t>ClaimStatus</t>
        </is>
      </c>
      <c r="V13" s="14" t="inlineStr">
        <is>
          <t>PRRKind</t>
        </is>
      </c>
      <c r="W13" s="14" t="inlineStr">
        <is>
          <t>ReceiptVerb</t>
        </is>
      </c>
      <c r="X13" s="14" t="inlineStr">
        <is>
          <t>HumanVerb</t>
        </is>
      </c>
      <c r="Y13" s="14" t="inlineStr">
        <is>
          <t>Sensitivity</t>
        </is>
      </c>
      <c r="Z13" s="14" t="inlineStr">
        <is>
          <t>ObjectType</t>
        </is>
      </c>
      <c r="AA13" t="inlineStr">
        <is>
          <t>EventFamilies</t>
        </is>
      </c>
    </row>
    <row r="14">
      <c r="A14" t="inlineStr">
        <is>
          <t>Single</t>
        </is>
      </c>
      <c r="B14" t="inlineStr">
        <is>
          <t>STAY</t>
        </is>
      </c>
      <c r="C14" t="inlineStr">
        <is>
          <t>Template</t>
        </is>
      </c>
      <c r="D14" t="inlineStr">
        <is>
          <t>FORM</t>
        </is>
      </c>
      <c r="E14" t="inlineStr">
        <is>
          <t>Intake &amp; Authorization</t>
        </is>
      </c>
      <c r="F14" t="inlineStr">
        <is>
          <t>ArtifactCreated</t>
        </is>
      </c>
      <c r="G14" t="inlineStr">
        <is>
          <t>Draft</t>
        </is>
      </c>
      <c r="H14" t="inlineStr">
        <is>
          <t>Info</t>
        </is>
      </c>
      <c r="I14" t="inlineStr">
        <is>
          <t>Excel Workbook</t>
        </is>
      </c>
      <c r="J14" t="inlineStr">
        <is>
          <t>CaseSpace</t>
        </is>
      </c>
      <c r="K14" t="inlineStr">
        <is>
          <t>Low</t>
        </is>
      </c>
      <c r="L14" t="inlineStr">
        <is>
          <t>No</t>
        </is>
      </c>
      <c r="M14" t="inlineStr">
        <is>
          <t>Not started</t>
        </is>
      </c>
      <c r="N14" t="inlineStr">
        <is>
          <t>Requested</t>
        </is>
      </c>
      <c r="O14" t="inlineStr">
        <is>
          <t>Yes</t>
        </is>
      </c>
      <c r="P14" t="inlineStr">
        <is>
          <t>CS-2026-01</t>
        </is>
      </c>
      <c r="Q14" t="inlineStr">
        <is>
          <t>files</t>
        </is>
      </c>
      <c r="R14" t="inlineStr">
        <is>
          <t>email</t>
        </is>
      </c>
      <c r="S14" t="inlineStr">
        <is>
          <t>open</t>
        </is>
      </c>
      <c r="T14" t="inlineStr">
        <is>
          <t>append</t>
        </is>
      </c>
      <c r="U14" t="inlineStr">
        <is>
          <t>CONFIRMED</t>
        </is>
      </c>
      <c r="V14" t="inlineStr">
        <is>
          <t>FORM</t>
        </is>
      </c>
      <c r="W14" t="inlineStr">
        <is>
          <t>opened_casespace</t>
        </is>
      </c>
      <c r="X14" t="inlineStr">
        <is>
          <t>human_appended_to_casespace</t>
        </is>
      </c>
      <c r="Y14" t="inlineStr">
        <is>
          <t>public</t>
        </is>
      </c>
      <c r="Z14" t="inlineStr">
        <is>
          <t>Record</t>
        </is>
      </c>
      <c r="AA14" t="inlineStr">
        <is>
          <t>process</t>
        </is>
      </c>
    </row>
    <row r="15">
      <c r="A15" t="inlineStr">
        <is>
          <t>Duo</t>
        </is>
      </c>
      <c r="B15" t="inlineStr">
        <is>
          <t>MUNI</t>
        </is>
      </c>
      <c r="C15" t="inlineStr">
        <is>
          <t>Instance</t>
        </is>
      </c>
      <c r="D15" t="inlineStr">
        <is>
          <t>CaseSpace</t>
        </is>
      </c>
      <c r="E15" t="inlineStr">
        <is>
          <t>Source &amp; Evidence</t>
        </is>
      </c>
      <c r="F15" t="inlineStr">
        <is>
          <t>ArtifactModified</t>
        </is>
      </c>
      <c r="G15" t="inlineStr">
        <is>
          <t>Active</t>
        </is>
      </c>
      <c r="H15" t="inlineStr">
        <is>
          <t>Watch</t>
        </is>
      </c>
      <c r="I15" t="inlineStr">
        <is>
          <t>GitHub</t>
        </is>
      </c>
      <c r="J15" t="inlineStr">
        <is>
          <t>ARCHIEVE</t>
        </is>
      </c>
      <c r="K15" t="inlineStr">
        <is>
          <t>Medium</t>
        </is>
      </c>
      <c r="L15" t="inlineStr">
        <is>
          <t>Yes</t>
        </is>
      </c>
      <c r="M15" t="inlineStr">
        <is>
          <t>In progress</t>
        </is>
      </c>
      <c r="N15" t="inlineStr">
        <is>
          <t>Received</t>
        </is>
      </c>
      <c r="O15" t="inlineStr">
        <is>
          <t>No</t>
        </is>
      </c>
      <c r="Q15" t="inlineStr">
        <is>
          <t>api</t>
        </is>
      </c>
      <c r="R15" t="inlineStr">
        <is>
          <t>file</t>
        </is>
      </c>
      <c r="S15" t="inlineStr">
        <is>
          <t>append</t>
        </is>
      </c>
      <c r="T15" t="inlineStr">
        <is>
          <t>open</t>
        </is>
      </c>
      <c r="U15" t="inlineStr">
        <is>
          <t>PENDING</t>
        </is>
      </c>
      <c r="V15" t="inlineStr">
        <is>
          <t>EVIDENCE</t>
        </is>
      </c>
      <c r="W15" t="inlineStr">
        <is>
          <t>appended_to_casespace</t>
        </is>
      </c>
      <c r="X15" t="inlineStr">
        <is>
          <t>human_opened_casespace</t>
        </is>
      </c>
      <c r="Y15" t="inlineStr">
        <is>
          <t>internal</t>
        </is>
      </c>
      <c r="Z15" t="inlineStr">
        <is>
          <t>Case</t>
        </is>
      </c>
      <c r="AA15" t="inlineStr">
        <is>
          <t>transition</t>
        </is>
      </c>
    </row>
    <row r="16">
      <c r="A16" t="inlineStr">
        <is>
          <t>Team</t>
        </is>
      </c>
      <c r="B16" t="inlineStr">
        <is>
          <t>PROJECT</t>
        </is>
      </c>
      <c r="D16" t="inlineStr">
        <is>
          <t>DocDump</t>
        </is>
      </c>
      <c r="E16" t="inlineStr">
        <is>
          <t>Working Coordination</t>
        </is>
      </c>
      <c r="F16" t="inlineStr">
        <is>
          <t>ArtifactValidated</t>
        </is>
      </c>
      <c r="G16" t="inlineStr">
        <is>
          <t>Built</t>
        </is>
      </c>
      <c r="H16" t="inlineStr">
        <is>
          <t>Action</t>
        </is>
      </c>
      <c r="I16" t="inlineStr">
        <is>
          <t>Google Workspace</t>
        </is>
      </c>
      <c r="J16" t="inlineStr">
        <is>
          <t>Email Alerts</t>
        </is>
      </c>
      <c r="K16" t="inlineStr">
        <is>
          <t>High</t>
        </is>
      </c>
      <c r="M16" t="inlineStr">
        <is>
          <t>Done</t>
        </is>
      </c>
      <c r="N16" t="inlineStr">
        <is>
          <t>Waived</t>
        </is>
      </c>
      <c r="Q16" t="inlineStr">
        <is>
          <t>db</t>
        </is>
      </c>
      <c r="R16" t="inlineStr">
        <is>
          <t>event</t>
        </is>
      </c>
      <c r="S16" t="inlineStr">
        <is>
          <t>ignore</t>
        </is>
      </c>
      <c r="T16" t="inlineStr">
        <is>
          <t>ignore</t>
        </is>
      </c>
      <c r="U16" t="inlineStr">
        <is>
          <t>PROJECTED</t>
        </is>
      </c>
      <c r="V16" t="inlineStr">
        <is>
          <t>DECISION</t>
        </is>
      </c>
      <c r="W16" t="inlineStr">
        <is>
          <t>flagged_for_review</t>
        </is>
      </c>
      <c r="X16" t="inlineStr">
        <is>
          <t>human_ignored_signal</t>
        </is>
      </c>
      <c r="Y16" t="inlineStr">
        <is>
          <t>restricted</t>
        </is>
      </c>
      <c r="Z16" t="inlineStr">
        <is>
          <t>Task</t>
        </is>
      </c>
      <c r="AA16" t="inlineStr">
        <is>
          <t>role</t>
        </is>
      </c>
    </row>
    <row r="17">
      <c r="B17" t="inlineStr">
        <is>
          <t>BIZ</t>
        </is>
      </c>
      <c r="D17" t="inlineStr">
        <is>
          <t>ARCHIEVE</t>
        </is>
      </c>
      <c r="E17" t="inlineStr">
        <is>
          <t>Analysis &amp; Modeling</t>
        </is>
      </c>
      <c r="F17" t="inlineStr">
        <is>
          <t>ArtifactApproved</t>
        </is>
      </c>
      <c r="G17" t="inlineStr">
        <is>
          <t>Spec</t>
        </is>
      </c>
      <c r="H17" t="inlineStr">
        <is>
          <t>Critical</t>
        </is>
      </c>
      <c r="I17" t="inlineStr">
        <is>
          <t>Microsoft 365</t>
        </is>
      </c>
      <c r="J17" t="inlineStr">
        <is>
          <t>Slack/Teams</t>
        </is>
      </c>
      <c r="M17" t="inlineStr">
        <is>
          <t>Blocked</t>
        </is>
      </c>
      <c r="Q17" t="inlineStr">
        <is>
          <t>web</t>
        </is>
      </c>
      <c r="R17" t="inlineStr">
        <is>
          <t>row</t>
        </is>
      </c>
      <c r="S17" t="inlineStr">
        <is>
          <t>needs_review</t>
        </is>
      </c>
      <c r="U17" t="inlineStr">
        <is>
          <t>CONDITIONAL</t>
        </is>
      </c>
      <c r="V17" t="inlineStr">
        <is>
          <t>CAL</t>
        </is>
      </c>
      <c r="W17" t="inlineStr">
        <is>
          <t>ignored</t>
        </is>
      </c>
      <c r="Y17" t="inlineStr">
        <is>
          <t>confidential</t>
        </is>
      </c>
      <c r="Z17" t="inlineStr">
        <is>
          <t>OrgNode</t>
        </is>
      </c>
      <c r="AA17" t="inlineStr">
        <is>
          <t>auth</t>
        </is>
      </c>
    </row>
    <row r="18">
      <c r="E18" t="inlineStr">
        <is>
          <t>Recommendation &amp; Decision</t>
        </is>
      </c>
      <c r="F18" t="inlineStr">
        <is>
          <t>ArtifactIssued</t>
        </is>
      </c>
      <c r="G18" t="inlineStr">
        <is>
          <t>Validated</t>
        </is>
      </c>
      <c r="I18" t="inlineStr">
        <is>
          <t>CivicPlus</t>
        </is>
      </c>
      <c r="J18" t="inlineStr">
        <is>
          <t>Dashboard</t>
        </is>
      </c>
      <c r="Q18" t="inlineStr">
        <is>
          <t>local</t>
        </is>
      </c>
      <c r="R18" t="inlineStr">
        <is>
          <t>invoice</t>
        </is>
      </c>
      <c r="V18" t="inlineStr">
        <is>
          <t>PRM</t>
        </is>
      </c>
      <c r="Z18" t="inlineStr">
        <is>
          <t>Alert</t>
        </is>
      </c>
      <c r="AA18" t="inlineStr">
        <is>
          <t>divergence</t>
        </is>
      </c>
    </row>
    <row r="19">
      <c r="E19" t="inlineStr">
        <is>
          <t>Plans &amp; Commitments</t>
        </is>
      </c>
      <c r="F19" t="inlineStr">
        <is>
          <t>ArtifactTransferred</t>
        </is>
      </c>
      <c r="G19" t="inlineStr">
        <is>
          <t>Approved</t>
        </is>
      </c>
      <c r="I19" t="inlineStr">
        <is>
          <t>CaseSpace</t>
        </is>
      </c>
      <c r="J19" t="inlineStr">
        <is>
          <t>Audit Log</t>
        </is>
      </c>
      <c r="R19" t="inlineStr">
        <is>
          <t>webhook</t>
        </is>
      </c>
      <c r="V19" t="inlineStr">
        <is>
          <t>TIME</t>
        </is>
      </c>
      <c r="Z19" t="inlineStr">
        <is>
          <t>EvidencePackage</t>
        </is>
      </c>
      <c r="AA19" t="inlineStr">
        <is>
          <t>system</t>
        </is>
      </c>
    </row>
    <row r="20">
      <c r="E20" t="inlineStr">
        <is>
          <t>Operating Guidance</t>
        </is>
      </c>
      <c r="F20" t="inlineStr">
        <is>
          <t>ArtifactArchived</t>
        </is>
      </c>
      <c r="G20" t="inlineStr">
        <is>
          <t>Archived</t>
        </is>
      </c>
      <c r="I20" t="inlineStr">
        <is>
          <t>ARCHIEVE</t>
        </is>
      </c>
      <c r="R20" t="inlineStr">
        <is>
          <t>form</t>
        </is>
      </c>
      <c r="V20" t="inlineStr">
        <is>
          <t>NOTE</t>
        </is>
      </c>
    </row>
    <row r="21">
      <c r="E21" t="inlineStr">
        <is>
          <t>Communications</t>
        </is>
      </c>
      <c r="F21" t="inlineStr">
        <is>
          <t>LifecycleAdvanced</t>
        </is>
      </c>
      <c r="G21" t="inlineStr">
        <is>
          <t>Exception</t>
        </is>
      </c>
      <c r="R21" t="inlineStr">
        <is>
          <t>other</t>
        </is>
      </c>
      <c r="V21" t="inlineStr">
        <is>
          <t>SEAL</t>
        </is>
      </c>
    </row>
    <row r="22">
      <c r="E22" t="inlineStr">
        <is>
          <t>Transaction &amp; Compliance</t>
        </is>
      </c>
      <c r="F22" t="inlineStr">
        <is>
          <t>RetentionTriggered</t>
        </is>
      </c>
    </row>
    <row r="23">
      <c r="E23" t="inlineStr">
        <is>
          <t>Closeout &amp; Memory</t>
        </is>
      </c>
      <c r="F23" t="inlineStr">
        <is>
          <t>EvidenceGapDetected</t>
        </is>
      </c>
    </row>
    <row r="24">
      <c r="F24" t="inlineStr">
        <is>
          <t>AuthorityChanged</t>
        </is>
      </c>
    </row>
    <row r="25">
      <c r="F25" t="inlineStr">
        <is>
          <t>ModuleReady</t>
        </is>
      </c>
    </row>
    <row r="26">
      <c r="F26" t="inlineStr">
        <is>
          <t>SignalReceived</t>
        </is>
      </c>
    </row>
    <row r="27">
      <c r="F27" t="inlineStr">
        <is>
          <t>SignalHeldForReview</t>
        </is>
      </c>
    </row>
    <row r="28">
      <c r="A28" s="14" t="inlineStr">
        <is>
          <t>Artifact ID Grammar</t>
        </is>
      </c>
      <c r="F28" t="inlineStr">
        <is>
          <t>SignalResolved</t>
        </is>
      </c>
    </row>
    <row r="29">
      <c r="A29" t="inlineStr">
        <is>
          <t>Pattern</t>
        </is>
      </c>
      <c r="B29" t="inlineStr">
        <is>
          <t>PL-{DOMAIN}-{MODULE}-{YYYY}-{NNNNN}</t>
        </is>
      </c>
      <c r="D29" t="inlineStr">
        <is>
          <t>Regex: ^PL-[A-Z]{2,5}-[A-Z0-9]{2,8}-\d{4}-\d{5}$</t>
        </is>
      </c>
    </row>
    <row r="30">
      <c r="A30" t="inlineStr">
        <is>
          <t>Assignment</t>
        </is>
      </c>
      <c r="B30" t="inlineStr">
        <is>
          <t>Manual, sequential, from the module counter</t>
        </is>
      </c>
      <c r="D30" t="inlineStr">
        <is>
          <t>IDs are typed, never derived by formula.</t>
        </is>
      </c>
    </row>
    <row r="31">
      <c r="A31" t="inlineStr">
        <is>
          <t>Immutability</t>
        </is>
      </c>
      <c r="B31" t="inlineStr">
        <is>
          <t>An Artifact ID is never changed or reused</t>
        </is>
      </c>
      <c r="D31" t="inlineStr">
        <is>
          <t>Re-filing or renaming an artifact does not alter its ID.</t>
        </is>
      </c>
    </row>
    <row r="32">
      <c r="A32" t="inlineStr">
        <is>
          <t>Prohibited</t>
        </is>
      </c>
      <c r="B32" t="inlineStr">
        <is>
          <t>No formula, no TODAY(), no ROW()</t>
        </is>
      </c>
      <c r="D32" t="inlineStr">
        <is>
          <t>Derived IDs mutate when their inputs mutate. That is not identity.</t>
        </is>
      </c>
    </row>
    <row r="33">
      <c r="A33" t="inlineStr">
        <is>
          <t>Retired IDs</t>
        </is>
      </c>
      <c r="B33" t="inlineStr">
        <is>
          <t>Mark superseded; never delete or reissue</t>
        </is>
      </c>
      <c r="D33" t="inlineStr">
        <is>
          <t>Historical events must remain resolvable.</t>
        </is>
      </c>
    </row>
    <row r="36">
      <c r="A36" s="14" t="inlineStr">
        <is>
          <t>Canon Note</t>
        </is>
      </c>
      <c r="B36" t="inlineStr">
        <is>
          <t>This workbook uses the FUNCTIONAL 10-family taxonomy (organized by the work an artifact does). It is the governing canon. Any formal artifact-type vocabulary (Agreement, Specification, Register, Record) is a subtype layer beneath Family, not a competing top-level axis.</t>
        </is>
      </c>
    </row>
    <row r="37">
      <c r="A37" s="14" t="inlineStr">
        <is>
          <t>Citation Canon</t>
        </is>
      </c>
      <c r="B37" t="inlineStr">
        <is>
          <t>Massachusetts general laws: M.G.L. c. NN, § NN. Federal regulations: N C.F.R. § NNN. Non-statutory authority is written in plain language (e.g. "Internal operating policy", "PublicLogic canon").</t>
        </is>
      </c>
    </row>
    <row r="38">
      <c r="A38" s="14" t="inlineStr">
        <is>
          <t>Case Layer Doctrine</t>
        </is>
      </c>
    </row>
    <row r="39">
      <c r="A39" t="inlineStr">
        <is>
          <t>One PRR</t>
        </is>
      </c>
      <c r="B39" t="inlineStr">
        <is>
          <t>The PJ Event Log IS the recordstream. A CaseSpace does not keep a second event log.</t>
        </is>
      </c>
    </row>
    <row r="40">
      <c r="A40" t="inlineStr">
        <is>
          <t>Case ID is a facet</t>
        </is>
      </c>
      <c r="B40" t="inlineStr">
        <is>
          <t>Case ID tags artifacts and events. It is not a lifecycle state and not an artifact type.</t>
        </is>
      </c>
    </row>
    <row r="41">
      <c r="A41" t="inlineStr">
        <is>
          <t>Every case object is an artifact</t>
        </is>
      </c>
      <c r="B41" t="inlineStr">
        <is>
          <t>FORMs, evidence requests, and decisions are registered artifacts with permanent IDs.</t>
        </is>
      </c>
    </row>
    <row r="42">
      <c r="A42" t="inlineStr">
        <is>
          <t>Append-only is asserted, not enforced</t>
        </is>
      </c>
      <c r="B42" t="inlineStr">
        <is>
          <t>Excel cannot enforce immutability. The runtime does. This workbook is a working surface, never the system of record.</t>
        </is>
      </c>
    </row>
    <row r="43">
      <c r="A43" t="inlineStr">
        <is>
          <t>Sealed = ARCHIEVE</t>
        </is>
      </c>
      <c r="B43" t="inlineStr">
        <is>
          <t>A case is sealed when its lifecycle reaches ARCHIEVE and no PRM item blocks closeout.</t>
        </is>
      </c>
    </row>
    <row r="45">
      <c r="A45" s="14" t="inlineStr">
        <is>
          <t>Signal Intake Doctrine</t>
        </is>
      </c>
    </row>
    <row r="46">
      <c r="A46" t="inlineStr">
        <is>
          <t>Signal in, receipt out</t>
        </is>
      </c>
      <c r="B46" t="inlineStr">
        <is>
          <t>Every inbound artifact becomes a governed object and earns a receipt. No exceptions, including held signals.</t>
        </is>
      </c>
    </row>
    <row r="47">
      <c r="A47" t="inlineStr">
        <is>
          <t>PJ does not guess</t>
        </is>
      </c>
      <c r="B47" t="inlineStr">
        <is>
          <t>Without sufficient match evidence the decision is needs_review. A held signal is preserved, never discarded and never falsely placed.</t>
        </is>
      </c>
    </row>
    <row r="48">
      <c r="A48" t="inlineStr">
        <is>
          <t>A person decides, and that is recorded</t>
        </is>
      </c>
      <c r="B48" t="inlineStr">
        <is>
          <t>Resolving a held signal emits a second receipt linked to the first. The record shows PJ did not guess and who did decide.</t>
        </is>
      </c>
    </row>
    <row r="49">
      <c r="A49" t="inlineStr">
        <is>
          <t>Provenance is mandatory</t>
        </is>
      </c>
      <c r="B49" t="inlineStr">
        <is>
          <t>Connector and Source Ref are required. Never use a filename or path as source identity.</t>
        </is>
      </c>
    </row>
    <row r="50">
      <c r="A50" t="inlineStr">
        <is>
          <t>Connectors are the product</t>
        </is>
      </c>
      <c r="B50" t="inlineStr">
        <is>
          <t>The connector contract is reusable. Any single integration is only its first proof.</t>
        </is>
      </c>
    </row>
    <row r="52">
      <c r="A52" s="14" t="inlineStr">
        <is>
          <t>Claims Discipline</t>
        </is>
      </c>
      <c r="B52" t="inlineStr">
        <is>
          <t>Every artifact carries one claim status: CONFIRMED, PENDING, PROJECTED, or CONDITIONAL. Nothing CONDITIONAL is ever presented as fact, and nothing CONDITIONAL may be sealed to ARCHIEVE.</t>
        </is>
      </c>
    </row>
    <row r="54">
      <c r="A54" s="14" t="inlineStr">
        <is>
          <t>Runtime Constants</t>
        </is>
      </c>
    </row>
    <row r="55">
      <c r="A55" t="inlineStr">
        <is>
          <t>REVIEW_THRESHOLD</t>
        </is>
      </c>
      <c r="B55" t="n">
        <v>0.6</v>
      </c>
      <c r="D55" t="inlineStr">
        <is>
          <t>golden-path/src/connector.js</t>
        </is>
      </c>
    </row>
    <row r="56">
      <c r="A56" t="inlineStr">
        <is>
          <t>CANONICAL_FORM_VERSION</t>
        </is>
      </c>
      <c r="B56" t="inlineStr">
        <is>
          <t>v1</t>
        </is>
      </c>
      <c r="D56" t="inlineStr">
        <is>
          <t>golden-path/src/canonical.js</t>
        </is>
      </c>
    </row>
    <row r="58">
      <c r="A58" s="14" t="inlineStr">
        <is>
          <t>Canon Rule</t>
        </is>
      </c>
      <c r="B58" t="inlineStr">
        <is>
          <t>Code is canon for any vocabulary enforced at runtime. This workbook is canon for governance vocabularies that code does not enforce. Nothing else defines a vocabulary. See the Canon Registry sheet.</t>
        </is>
      </c>
    </row>
    <row r="60">
      <c r="A60" s="14" t="inlineStr">
        <is>
          <t>Enforcement Boundary</t>
        </is>
      </c>
    </row>
    <row r="61">
      <c r="A61" t="inlineStr">
        <is>
          <t>Browser / workbook</t>
        </is>
      </c>
      <c r="B61" t="inlineStr">
        <is>
          <t>Soft guidance and routing. Suggests, warns, formats. Enforces nothing.</t>
        </is>
      </c>
    </row>
    <row r="62">
      <c r="A62" t="inlineStr">
        <is>
          <t>Server / runtime</t>
        </is>
      </c>
      <c r="B62" t="inlineStr">
        <is>
          <t>Hard stops. SEAL writes. ARCHIEVE writes. audit_events append-only, enforced by SQLite trigger, not by policy.</t>
        </is>
      </c>
    </row>
    <row r="63">
      <c r="A63" t="inlineStr">
        <is>
          <t>The test</t>
        </is>
      </c>
      <c r="B63" t="inlineStr">
        <is>
          <t>If a rule can be broken by editing a cell, it is guidance. If a DELETE raises ABORT, it is enforcement.</t>
        </is>
      </c>
    </row>
    <row r="65">
      <c r="A65" s="14" t="inlineStr">
        <is>
          <t>Object Model</t>
        </is>
      </c>
      <c r="B65" t="inlineStr">
        <is>
          <t>All governed data is a Record. Some Records are Cases. Tasks are the only mechanism through which governed work is completed. No module defines its own object model; a parallel table is undetectable fragmentation.</t>
        </is>
      </c>
    </row>
    <row r="66">
      <c r="A66" s="14" t="inlineStr">
        <is>
          <t>Hierarchy</t>
        </is>
      </c>
      <c r="B66" t="inlineStr">
        <is>
          <t>Tenant → Environment → CaseSpace → Record → Case → Task. CaseSpace is a governance scope, not a UI grouping.</t>
        </is>
      </c>
    </row>
    <row r="67">
      <c r="A67" s="14" t="inlineStr">
        <is>
          <t>VAULT wording</t>
        </is>
      </c>
      <c r="B67" t="inlineStr">
        <is>
          <t>Verification · Authority · Utility · Legitimacy · Transfer. Authored by Nathan Boudreau. The Build Spec v3 renders these as Verified/Authorized/Legitimate — that rendering is superseded.</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8" customWidth="1" min="1" max="1"/>
    <col width="36" customWidth="1" min="2" max="2"/>
    <col width="46" customWidth="1" min="3" max="3"/>
    <col width="38" customWidth="1" min="4" max="4"/>
    <col width="20" customWidth="1" min="5" max="5"/>
  </cols>
  <sheetData>
    <row r="1">
      <c r="A1" s="1" t="inlineStr">
        <is>
          <t>10-Family Artifact Taxonomy</t>
        </is>
      </c>
    </row>
    <row r="2">
      <c r="A2" s="2" t="inlineStr">
        <is>
          <t>Artifact type is separate from lifecycle. Nature separates blueprints from filled documents.</t>
        </is>
      </c>
    </row>
    <row r="4">
      <c r="A4" s="3" t="inlineStr">
        <is>
          <t>Family</t>
        </is>
      </c>
      <c r="B4" s="3" t="inlineStr">
        <is>
          <t>Plain-English Role</t>
        </is>
      </c>
      <c r="C4" s="3" t="inlineStr">
        <is>
          <t>Examples</t>
        </is>
      </c>
      <c r="D4" s="3" t="inlineStr">
        <is>
          <t>Typical Events</t>
        </is>
      </c>
      <c r="E4" s="3" t="inlineStr">
        <is>
          <t>Default Retention</t>
        </is>
      </c>
    </row>
    <row r="5">
      <c r="A5" s="5" t="inlineStr">
        <is>
          <t>Intake &amp; Authorization</t>
        </is>
      </c>
      <c r="B5" t="inlineStr">
        <is>
          <t>Starts work and confirms permission</t>
        </is>
      </c>
      <c r="C5" t="inlineStr">
        <is>
          <t>Intake form, authorization, acknowledgment</t>
        </is>
      </c>
      <c r="D5" t="inlineStr">
        <is>
          <t>ArtifactCreated, ArtifactApproved</t>
        </is>
      </c>
      <c r="E5" t="inlineStr">
        <is>
          <t>Standard 3-7y</t>
        </is>
      </c>
    </row>
    <row r="6">
      <c r="A6" s="5" t="inlineStr">
        <is>
          <t>Source &amp; Evidence</t>
        </is>
      </c>
      <c r="B6" t="inlineStr">
        <is>
          <t>Stores source material and proof</t>
        </is>
      </c>
      <c r="C6" t="inlineStr">
        <is>
          <t>Email, signed letter, uploaded file, citation packet</t>
        </is>
      </c>
      <c r="D6" t="inlineStr">
        <is>
          <t>ArtifactCreated, EvidenceGapDetected</t>
        </is>
      </c>
      <c r="E6" t="inlineStr">
        <is>
          <t>Long 7-30y</t>
        </is>
      </c>
    </row>
    <row r="7">
      <c r="A7" s="5" t="inlineStr">
        <is>
          <t>Working Coordination</t>
        </is>
      </c>
      <c r="B7" t="inlineStr">
        <is>
          <t>Keeps active work moving</t>
        </is>
      </c>
      <c r="C7" t="inlineStr">
        <is>
          <t>Tracker, minutes, task list, coordination log</t>
        </is>
      </c>
      <c r="D7" t="inlineStr">
        <is>
          <t>ArtifactModified, LifecycleAdvanced</t>
        </is>
      </c>
      <c r="E7" t="inlineStr">
        <is>
          <t>Standard 3-7y</t>
        </is>
      </c>
    </row>
    <row r="8">
      <c r="A8" s="5" t="inlineStr">
        <is>
          <t>Analysis &amp; Modeling</t>
        </is>
      </c>
      <c r="B8" t="inlineStr">
        <is>
          <t>Turns inputs into insight</t>
        </is>
      </c>
      <c r="C8" t="inlineStr">
        <is>
          <t>Budget model, GHG model, scoring sheet</t>
        </is>
      </c>
      <c r="D8" t="inlineStr">
        <is>
          <t>ArtifactValidated, ArtifactModified</t>
        </is>
      </c>
      <c r="E8" t="inlineStr">
        <is>
          <t>Long 7-30y</t>
        </is>
      </c>
    </row>
    <row r="9">
      <c r="A9" s="5" t="inlineStr">
        <is>
          <t>Recommendation &amp; Decision</t>
        </is>
      </c>
      <c r="B9" t="inlineStr">
        <is>
          <t>Supports or records choices</t>
        </is>
      </c>
      <c r="C9" t="inlineStr">
        <is>
          <t>Decision memo, findings, approval certificate</t>
        </is>
      </c>
      <c r="D9" t="inlineStr">
        <is>
          <t>ArtifactApproved, ArtifactIssued</t>
        </is>
      </c>
      <c r="E9" t="inlineStr">
        <is>
          <t>Permanent</t>
        </is>
      </c>
    </row>
    <row r="10">
      <c r="A10" s="5" t="inlineStr">
        <is>
          <t>Plans &amp; Commitments</t>
        </is>
      </c>
      <c r="B10" t="inlineStr">
        <is>
          <t>Sets intended action or obligation</t>
        </is>
      </c>
      <c r="C10" t="inlineStr">
        <is>
          <t>SOP, runbook, playbook, checklist</t>
        </is>
      </c>
      <c r="D10" t="inlineStr">
        <is>
          <t>ArtifactApproved, ArtifactIssued</t>
        </is>
      </c>
      <c r="E10" t="inlineStr">
        <is>
          <t>Long 7-30y</t>
        </is>
      </c>
    </row>
    <row r="11">
      <c r="A11" s="5" t="inlineStr">
        <is>
          <t>Operating Guidance</t>
        </is>
      </c>
      <c r="B11" t="inlineStr">
        <is>
          <t>Helps people run the system</t>
        </is>
      </c>
      <c r="C11" t="inlineStr">
        <is>
          <t>Cover memo, public notice, transmittal, slide deck</t>
        </is>
      </c>
      <c r="D11" t="inlineStr">
        <is>
          <t>ArtifactModified, ModuleReady</t>
        </is>
      </c>
      <c r="E11" t="inlineStr">
        <is>
          <t>Current + prior</t>
        </is>
      </c>
    </row>
    <row r="12">
      <c r="A12" s="5" t="inlineStr">
        <is>
          <t>Communications</t>
        </is>
      </c>
      <c r="B12" t="inlineStr">
        <is>
          <t>Explains or transmits information</t>
        </is>
      </c>
      <c r="C12" t="inlineStr">
        <is>
          <t>Email, cover memo, public notice, slide deck</t>
        </is>
      </c>
      <c r="D12" t="inlineStr">
        <is>
          <t>ArtifactIssued, ArtifactModified</t>
        </is>
      </c>
      <c r="E12" t="inlineStr">
        <is>
          <t>Standard 3-7y</t>
        </is>
      </c>
    </row>
    <row r="13">
      <c r="A13" s="5" t="inlineStr">
        <is>
          <t>Transaction &amp; Compliance</t>
        </is>
      </c>
      <c r="B13" t="inlineStr">
        <is>
          <t>Completes governed transactions</t>
        </is>
      </c>
      <c r="C13" t="inlineStr">
        <is>
          <t>Invoice, grant report, procurement file, W-9</t>
        </is>
      </c>
      <c r="D13" t="inlineStr">
        <is>
          <t>ArtifactValidated, ArtifactArchived</t>
        </is>
      </c>
      <c r="E13" t="inlineStr">
        <is>
          <t>Long 7-30y</t>
        </is>
      </c>
    </row>
    <row r="14">
      <c r="A14" s="5" t="inlineStr">
        <is>
          <t>Closeout &amp; Memory</t>
        </is>
      </c>
      <c r="B14" t="inlineStr">
        <is>
          <t>Preserves final state and transfer memory</t>
        </is>
      </c>
      <c r="C14" t="inlineStr">
        <is>
          <t>Closeout memo, ARCHIEVE snapshot, transfer packet</t>
        </is>
      </c>
      <c r="D14" t="inlineStr">
        <is>
          <t>ArtifactArchived, ArtifactTransferred</t>
        </is>
      </c>
      <c r="E14" t="inlineStr">
        <is>
          <t>Permanent</t>
        </is>
      </c>
    </row>
    <row r="15">
      <c r="A15" t="inlineStr">
        <is>
          <t>Note</t>
        </is>
      </c>
      <c r="B15" t="inlineStr">
        <is>
          <t>Retention labels are planning bands, not legal schedules. Municipal artifacts must be mapped to a specific series in the Massachusetts Municipal Records Retention Schedule before disposition.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4" customWidth="1" min="1" max="1"/>
    <col width="38" customWidth="1" min="2" max="2"/>
    <col width="42" customWidth="1" min="3" max="3"/>
    <col width="40" customWidth="1" min="4" max="4"/>
    <col width="18" customWidth="1" min="5" max="5"/>
    <col width="30" customWidth="1" min="6" max="6"/>
  </cols>
  <sheetData>
    <row r="1">
      <c r="A1" s="8" t="inlineStr">
        <is>
          <t>Closed Event Vocabulary</t>
        </is>
      </c>
    </row>
    <row r="2">
      <c r="A2" s="2" t="inlineStr">
        <is>
          <t>PJ publishes facts using a small, governed vocabulary. Add events only by canon change.</t>
        </is>
      </c>
    </row>
    <row r="4">
      <c r="A4" s="3" t="inlineStr">
        <is>
          <t>Event Type</t>
        </is>
      </c>
      <c r="B4" s="3" t="inlineStr">
        <is>
          <t>Definition</t>
        </is>
      </c>
      <c r="C4" s="3" t="inlineStr">
        <is>
          <t>Allowed Trigger</t>
        </is>
      </c>
      <c r="D4" s="3" t="inlineStr">
        <is>
          <t>Primary Metadata</t>
        </is>
      </c>
      <c r="E4" s="3" t="inlineStr">
        <is>
          <t>Default Significance</t>
        </is>
      </c>
      <c r="F4" s="3" t="inlineStr">
        <is>
          <t>Consumer Examples</t>
        </is>
      </c>
    </row>
    <row r="5">
      <c r="A5" s="10" t="inlineStr">
        <is>
          <t>ArtifactCreated</t>
        </is>
      </c>
      <c r="B5" s="10" t="inlineStr">
        <is>
          <t>A new governed artifact has entered the system.</t>
        </is>
      </c>
      <c r="C5" s="10" t="inlineStr">
        <is>
          <t>New artifact record or source object detected.</t>
        </is>
      </c>
      <c r="D5" s="10" t="inlineStr">
        <is>
          <t>artifact_id, family, nature, lifecycle, owner</t>
        </is>
      </c>
      <c r="E5" s="10" t="inlineStr">
        <is>
          <t>Info</t>
        </is>
      </c>
      <c r="F5" s="10" t="inlineStr">
        <is>
          <t>Dashboard, Audit Log</t>
        </is>
      </c>
    </row>
    <row r="6">
      <c r="A6" s="10" t="inlineStr">
        <is>
          <t>ArtifactModified</t>
        </is>
      </c>
      <c r="B6" s="10" t="inlineStr">
        <is>
          <t>An existing artifact changed.</t>
        </is>
      </c>
      <c r="C6" s="10" t="inlineStr">
        <is>
          <t>Content, metadata, or version changed.</t>
        </is>
      </c>
      <c r="D6" s="10" t="inlineStr">
        <is>
          <t>artifact_id, version, source_system</t>
        </is>
      </c>
      <c r="E6" s="10" t="inlineStr">
        <is>
          <t>Watch</t>
        </is>
      </c>
      <c r="F6" s="10" t="inlineStr">
        <is>
          <t>Dashboard</t>
        </is>
      </c>
    </row>
    <row r="7">
      <c r="A7" s="10" t="inlineStr">
        <is>
          <t>ArtifactValidated</t>
        </is>
      </c>
      <c r="B7" s="10" t="inlineStr">
        <is>
          <t>Artifact passed a governance check.</t>
        </is>
      </c>
      <c r="C7" s="10" t="inlineStr">
        <is>
          <t>Validation status moved to Validated.</t>
        </is>
      </c>
      <c r="D7" s="10" t="inlineStr">
        <is>
          <t>artifact_id, validation_rule, owner</t>
        </is>
      </c>
      <c r="E7" s="10" t="inlineStr">
        <is>
          <t>Info</t>
        </is>
      </c>
      <c r="F7" s="10" t="inlineStr">
        <is>
          <t>Audit Log, CaseSpace</t>
        </is>
      </c>
    </row>
    <row r="8">
      <c r="A8" s="10" t="inlineStr">
        <is>
          <t>ArtifactApproved</t>
        </is>
      </c>
      <c r="B8" s="10" t="inlineStr">
        <is>
          <t>Artifact received formal approval.</t>
        </is>
      </c>
      <c r="C8" s="10" t="inlineStr">
        <is>
          <t>Approval field/signature/status applied.</t>
        </is>
      </c>
      <c r="D8" s="10" t="inlineStr">
        <is>
          <t>artifact_id, approver, authority</t>
        </is>
      </c>
      <c r="E8" s="10" t="inlineStr">
        <is>
          <t>Action</t>
        </is>
      </c>
      <c r="F8" s="10" t="inlineStr">
        <is>
          <t>Email, Audit Log</t>
        </is>
      </c>
    </row>
    <row r="9">
      <c r="A9" s="10" t="inlineStr">
        <is>
          <t>ArtifactIssued</t>
        </is>
      </c>
      <c r="B9" s="10" t="inlineStr">
        <is>
          <t>Artifact was sent to client/public/recipient.</t>
        </is>
      </c>
      <c r="C9" s="10" t="inlineStr">
        <is>
          <t>Issued/sent/published status detected.</t>
        </is>
      </c>
      <c r="D9" s="10" t="inlineStr">
        <is>
          <t>artifact_id, recipient, timestamp</t>
        </is>
      </c>
      <c r="E9" s="10" t="inlineStr">
        <is>
          <t>Action</t>
        </is>
      </c>
      <c r="F9" s="10" t="inlineStr">
        <is>
          <t>Email, ARCHIEVE</t>
        </is>
      </c>
    </row>
    <row r="10">
      <c r="A10" s="10" t="inlineStr">
        <is>
          <t>ArtifactTransferred</t>
        </is>
      </c>
      <c r="B10" s="10" t="inlineStr">
        <is>
          <t>Artifact moved to a new owner/steward.</t>
        </is>
      </c>
      <c r="C10" s="10" t="inlineStr">
        <is>
          <t>Owner changed or transfer packet created.</t>
        </is>
      </c>
      <c r="D10" s="10" t="inlineStr">
        <is>
          <t>artifact_id, from_owner, to_owner</t>
        </is>
      </c>
      <c r="E10" s="10" t="inlineStr">
        <is>
          <t>Action</t>
        </is>
      </c>
      <c r="F10" s="10" t="inlineStr">
        <is>
          <t>CaseSpace</t>
        </is>
      </c>
    </row>
    <row r="11">
      <c r="A11" s="10" t="inlineStr">
        <is>
          <t>ArtifactArchived</t>
        </is>
      </c>
      <c r="B11" s="10" t="inlineStr">
        <is>
          <t>Artifact entered ARCHIEVE.</t>
        </is>
      </c>
      <c r="C11" s="10" t="inlineStr">
        <is>
          <t>Lifecycle transitioned to ARCHIEVE.</t>
        </is>
      </c>
      <c r="D11" s="10" t="inlineStr">
        <is>
          <t>artifact_id, archive_path, retention</t>
        </is>
      </c>
      <c r="E11" s="10" t="inlineStr">
        <is>
          <t>Info</t>
        </is>
      </c>
      <c r="F11" s="10" t="inlineStr">
        <is>
          <t>ARCHIEVE, Audit Log</t>
        </is>
      </c>
    </row>
    <row r="12">
      <c r="A12" s="10" t="inlineStr">
        <is>
          <t>LifecycleAdvanced</t>
        </is>
      </c>
      <c r="B12" s="10" t="inlineStr">
        <is>
          <t>Artifact moved to a next lifecycle state.</t>
        </is>
      </c>
      <c r="C12" s="10" t="inlineStr">
        <is>
          <t>FORM→CaseSpace or CaseSpace→DocDump etc.</t>
        </is>
      </c>
      <c r="D12" s="10" t="inlineStr">
        <is>
          <t>artifact_id, old_lifecycle, new_lifecycle</t>
        </is>
      </c>
      <c r="E12" s="10" t="inlineStr">
        <is>
          <t>Watch</t>
        </is>
      </c>
      <c r="F12" s="10" t="inlineStr">
        <is>
          <t>Dashboard, CaseSpace</t>
        </is>
      </c>
    </row>
    <row r="13">
      <c r="A13" s="10" t="inlineStr">
        <is>
          <t>RetentionTriggered</t>
        </is>
      </c>
      <c r="B13" s="10" t="inlineStr">
        <is>
          <t>Retention clock started/completed/review due.</t>
        </is>
      </c>
      <c r="C13" s="10" t="inlineStr">
        <is>
          <t>Lifecycle or date condition activates retention.</t>
        </is>
      </c>
      <c r="D13" s="10" t="inlineStr">
        <is>
          <t>artifact_id, retention, trigger_date</t>
        </is>
      </c>
      <c r="E13" s="10" t="inlineStr">
        <is>
          <t>Watch</t>
        </is>
      </c>
      <c r="F13" s="10" t="inlineStr">
        <is>
          <t>Audit Log</t>
        </is>
      </c>
    </row>
    <row r="14">
      <c r="A14" s="10" t="inlineStr">
        <is>
          <t>EvidenceGapDetected</t>
        </is>
      </c>
      <c r="B14" s="10" t="inlineStr">
        <is>
          <t>Required evidence is missing.</t>
        </is>
      </c>
      <c r="C14" s="10" t="inlineStr">
        <is>
          <t>Validation or completeness check failed.</t>
        </is>
      </c>
      <c r="D14" s="10" t="inlineStr">
        <is>
          <t>artifact_id, missing_evidence, due_by</t>
        </is>
      </c>
      <c r="E14" s="10" t="inlineStr">
        <is>
          <t>Critical</t>
        </is>
      </c>
      <c r="F14" s="10" t="inlineStr">
        <is>
          <t>Email, Dashboard</t>
        </is>
      </c>
    </row>
    <row r="15">
      <c r="A15" s="10" t="inlineStr">
        <is>
          <t>AuthorityChanged</t>
        </is>
      </c>
      <c r="B15" s="10" t="inlineStr">
        <is>
          <t>Governing citation/policy changed.</t>
        </is>
      </c>
      <c r="C15" s="10" t="inlineStr">
        <is>
          <t>Authority metadata updated.</t>
        </is>
      </c>
      <c r="D15" s="10" t="inlineStr">
        <is>
          <t>artifact_id, old_authority, new_authority</t>
        </is>
      </c>
      <c r="E15" s="10" t="inlineStr">
        <is>
          <t>Action</t>
        </is>
      </c>
      <c r="F15" s="10" t="inlineStr">
        <is>
          <t>Audit Log, Email</t>
        </is>
      </c>
    </row>
    <row r="16">
      <c r="A16" s="10" t="inlineStr">
        <is>
          <t>ModuleReady</t>
        </is>
      </c>
      <c r="B16" s="10" t="inlineStr">
        <is>
          <t>All required templates/artifacts for a module are built/valid.</t>
        </is>
      </c>
      <c r="C16" s="10" t="inlineStr">
        <is>
          <t>Module readiness check passes.</t>
        </is>
      </c>
      <c r="D16" s="10" t="inlineStr">
        <is>
          <t>module, built_count, total_count</t>
        </is>
      </c>
      <c r="E16" s="10" t="inlineStr">
        <is>
          <t>Info</t>
        </is>
      </c>
      <c r="F16" s="10" t="inlineStr">
        <is>
          <t>Dashboard</t>
        </is>
      </c>
    </row>
    <row r="17">
      <c r="A17" t="inlineStr">
        <is>
          <t>SignalReceived</t>
        </is>
      </c>
      <c r="B17" t="inlineStr">
        <is>
          <t>An inbound artifact was observed and normalized into a governed object.</t>
        </is>
      </c>
      <c r="C17" t="inlineStr">
        <is>
          <t>Connector delivers a signal with valid provenance.</t>
        </is>
      </c>
      <c r="D17" t="inlineStr">
        <is>
          <t>signal_id, connector, source_ref, artifact_id</t>
        </is>
      </c>
      <c r="E17" t="inlineStr">
        <is>
          <t>Info</t>
        </is>
      </c>
      <c r="F17" t="inlineStr">
        <is>
          <t>Audit Log</t>
        </is>
      </c>
    </row>
    <row r="18">
      <c r="A18" t="inlineStr">
        <is>
          <t>SignalHeldForReview</t>
        </is>
      </c>
      <c r="B18" t="inlineStr">
        <is>
          <t>A signal was preserved but not placed; evidence was insufficient.</t>
        </is>
      </c>
      <c r="C18" t="inlineStr">
        <is>
          <t>Resolver returns needs_review.</t>
        </is>
      </c>
      <c r="D18" t="inlineStr">
        <is>
          <t>signal_id, confidence, missing_evidence</t>
        </is>
      </c>
      <c r="E18" t="inlineStr">
        <is>
          <t>Watch</t>
        </is>
      </c>
      <c r="F18" t="inlineStr">
        <is>
          <t>Dashboard</t>
        </is>
      </c>
    </row>
    <row r="19">
      <c r="A19" t="inlineStr">
        <is>
          <t>SignalResolved</t>
        </is>
      </c>
      <c r="B19" t="inlineStr">
        <is>
          <t>A person resolved a held signal by appending, opening, or ignoring.</t>
        </is>
      </c>
      <c r="C19" t="inlineStr">
        <is>
          <t>Review item resolved.</t>
        </is>
      </c>
      <c r="D19" t="inlineStr">
        <is>
          <t>signal_id, prior_receipt_id, resolved_by, action</t>
        </is>
      </c>
      <c r="E19" t="inlineStr">
        <is>
          <t>Action</t>
        </is>
      </c>
      <c r="F19" t="inlineStr">
        <is>
          <t>Audit Log</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min="1" max="1"/>
    <col width="14" customWidth="1" min="2" max="2"/>
    <col width="18" customWidth="1" min="3" max="3"/>
    <col width="34" customWidth="1" min="4" max="4"/>
    <col width="54" customWidth="1" min="5" max="5"/>
  </cols>
  <sheetData>
    <row r="1">
      <c r="A1" s="8" t="inlineStr">
        <is>
          <t>Canonical PJ Event Envelope</t>
        </is>
      </c>
    </row>
    <row r="2">
      <c r="A2" s="2" t="inlineStr">
        <is>
          <t>Every event has the same schema so consumers subscribe to facts, not source-specific details.</t>
        </is>
      </c>
    </row>
    <row r="4">
      <c r="A4" s="3" t="inlineStr">
        <is>
          <t>Field</t>
        </is>
      </c>
      <c r="B4" s="3" t="inlineStr">
        <is>
          <t>Required</t>
        </is>
      </c>
      <c r="C4" s="3" t="inlineStr">
        <is>
          <t>Type</t>
        </is>
      </c>
      <c r="D4" s="3" t="inlineStr">
        <is>
          <t>Example</t>
        </is>
      </c>
      <c r="E4" s="3" t="inlineStr">
        <is>
          <t>Governance Rule</t>
        </is>
      </c>
    </row>
    <row r="5">
      <c r="A5" s="10" t="inlineStr">
        <is>
          <t>event_id</t>
        </is>
      </c>
      <c r="B5" s="10" t="inlineStr">
        <is>
          <t>Yes</t>
        </is>
      </c>
      <c r="C5" s="10" t="inlineStr">
        <is>
          <t>String</t>
        </is>
      </c>
      <c r="D5" s="10" t="inlineStr">
        <is>
          <t>EVT-2026-000001</t>
        </is>
      </c>
      <c r="E5" s="10" t="inlineStr">
        <is>
          <t>Unique event ID, immutable after publish.</t>
        </is>
      </c>
    </row>
    <row r="6">
      <c r="A6" s="10" t="inlineStr">
        <is>
          <t>timestamp</t>
        </is>
      </c>
      <c r="B6" s="10" t="inlineStr">
        <is>
          <t>Yes</t>
        </is>
      </c>
      <c r="C6" s="10" t="inlineStr">
        <is>
          <t>ISO datetime</t>
        </is>
      </c>
      <c r="D6" s="17" t="inlineStr">
        <is>
          <t>2026-07-09T09:00:00-04:00</t>
        </is>
      </c>
      <c r="E6" s="10" t="inlineStr">
        <is>
          <t>Use source timestamp if trustworthy; otherwise observation timestamp.</t>
        </is>
      </c>
    </row>
    <row r="7">
      <c r="A7" s="10" t="inlineStr">
        <is>
          <t>event_type</t>
        </is>
      </c>
      <c r="B7" s="10" t="inlineStr">
        <is>
          <t>Yes</t>
        </is>
      </c>
      <c r="C7" s="10" t="inlineStr">
        <is>
          <t>Controlled value</t>
        </is>
      </c>
      <c r="D7" s="10" t="inlineStr">
        <is>
          <t>ArtifactArchived</t>
        </is>
      </c>
      <c r="E7" s="10" t="inlineStr">
        <is>
          <t>Must exist in Event Vocabulary.</t>
        </is>
      </c>
    </row>
    <row r="8">
      <c r="A8" s="10" t="inlineStr">
        <is>
          <t>artifact_id</t>
        </is>
      </c>
      <c r="B8" s="10" t="inlineStr">
        <is>
          <t>Yes</t>
        </is>
      </c>
      <c r="C8" s="10" t="inlineStr">
        <is>
          <t>String</t>
        </is>
      </c>
      <c r="D8" s="10" t="inlineStr">
        <is>
          <t>PL-GRANT-GRNT-2026-00008</t>
        </is>
      </c>
      <c r="E8" s="10" t="inlineStr">
        <is>
          <t>Never use filename/path as primary identity.</t>
        </is>
      </c>
    </row>
    <row r="9">
      <c r="A9" s="10" t="inlineStr">
        <is>
          <t>family</t>
        </is>
      </c>
      <c r="B9" s="10" t="inlineStr">
        <is>
          <t>Yes</t>
        </is>
      </c>
      <c r="C9" s="10" t="inlineStr">
        <is>
          <t>Controlled value</t>
        </is>
      </c>
      <c r="D9" s="10" t="inlineStr">
        <is>
          <t>Transaction &amp; Compliance</t>
        </is>
      </c>
      <c r="E9" s="10" t="inlineStr">
        <is>
          <t>Must exist in Taxonomy.</t>
        </is>
      </c>
    </row>
    <row r="10">
      <c r="A10" s="10" t="inlineStr">
        <is>
          <t>nature</t>
        </is>
      </c>
      <c r="B10" s="10" t="inlineStr">
        <is>
          <t>Yes</t>
        </is>
      </c>
      <c r="C10" s="10" t="inlineStr">
        <is>
          <t>Template/Instance</t>
        </is>
      </c>
      <c r="D10" s="10" t="inlineStr">
        <is>
          <t>Instance</t>
        </is>
      </c>
      <c r="E10" s="10" t="inlineStr">
        <is>
          <t>Separates blueprint from filled work product.</t>
        </is>
      </c>
    </row>
    <row r="11">
      <c r="A11" s="10" t="inlineStr">
        <is>
          <t>lifecycle</t>
        </is>
      </c>
      <c r="B11" s="10" t="inlineStr">
        <is>
          <t>Yes</t>
        </is>
      </c>
      <c r="C11" s="10" t="inlineStr">
        <is>
          <t>Controlled value</t>
        </is>
      </c>
      <c r="D11" s="10" t="inlineStr">
        <is>
          <t>ARCHIEVE</t>
        </is>
      </c>
      <c r="E11" s="10" t="inlineStr">
        <is>
          <t>FORM, CaseSpace, DocDump, ARCHIEVE.</t>
        </is>
      </c>
    </row>
    <row r="12">
      <c r="A12" s="10" t="inlineStr">
        <is>
          <t>owner</t>
        </is>
      </c>
      <c r="B12" s="10" t="inlineStr">
        <is>
          <t>Yes</t>
        </is>
      </c>
      <c r="C12" s="10" t="inlineStr">
        <is>
          <t>Text</t>
        </is>
      </c>
      <c r="D12" s="10" t="inlineStr">
        <is>
          <t>Grant Manager</t>
        </is>
      </c>
      <c r="E12" s="10" t="inlineStr">
        <is>
          <t>Person/role responsible for artifact stewardship.</t>
        </is>
      </c>
    </row>
    <row r="13">
      <c r="A13" s="10" t="inlineStr">
        <is>
          <t>authority</t>
        </is>
      </c>
      <c r="B13" s="10" t="inlineStr">
        <is>
          <t>Recommended</t>
        </is>
      </c>
      <c r="C13" s="10" t="inlineStr">
        <is>
          <t>Text</t>
        </is>
      </c>
      <c r="D13" s="10" t="inlineStr">
        <is>
          <t>2 CFR 200</t>
        </is>
      </c>
      <c r="E13" s="10" t="inlineStr">
        <is>
          <t>Governing citation, policy, contract, or canon.</t>
        </is>
      </c>
    </row>
    <row r="14">
      <c r="A14" s="10" t="inlineStr">
        <is>
          <t>source_system</t>
        </is>
      </c>
      <c r="B14" s="10" t="inlineStr">
        <is>
          <t>Yes</t>
        </is>
      </c>
      <c r="C14" s="10" t="inlineStr">
        <is>
          <t>Controlled value</t>
        </is>
      </c>
      <c r="D14" s="10" t="inlineStr">
        <is>
          <t>Microsoft 365</t>
        </is>
      </c>
      <c r="E14" s="10" t="inlineStr">
        <is>
          <t>Where the event was observed.</t>
        </is>
      </c>
    </row>
    <row r="15">
      <c r="A15" s="10" t="inlineStr">
        <is>
          <t>version</t>
        </is>
      </c>
      <c r="B15" s="10" t="inlineStr">
        <is>
          <t>Recommended</t>
        </is>
      </c>
      <c r="C15" s="10" t="inlineStr">
        <is>
          <t>String</t>
        </is>
      </c>
      <c r="D15" s="10" t="inlineStr">
        <is>
          <t>v1.2</t>
        </is>
      </c>
      <c r="E15" s="10" t="inlineStr">
        <is>
          <t>Version at time of event.</t>
        </is>
      </c>
    </row>
    <row r="16">
      <c r="A16" s="10" t="inlineStr">
        <is>
          <t>metadata</t>
        </is>
      </c>
      <c r="B16" s="10" t="inlineStr">
        <is>
          <t>Optional</t>
        </is>
      </c>
      <c r="C16" s="10" t="inlineStr">
        <is>
          <t>JSON object</t>
        </is>
      </c>
      <c r="D16" s="10" t="inlineStr">
        <is>
          <t>{"old":"CaseSpace","new":"ARCHIEVE"}</t>
        </is>
      </c>
      <c r="E16" s="10" t="inlineStr">
        <is>
          <t>Source-specific details; never required for core interpretation.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cols>
    <col width="22" customWidth="1" min="1" max="1"/>
    <col width="32" customWidth="1" min="2" max="2"/>
    <col width="20" customWidth="1" min="3" max="3"/>
    <col width="14" customWidth="1" min="4" max="4"/>
    <col width="28" customWidth="1" min="5" max="5"/>
    <col width="14" customWidth="1" min="6" max="6"/>
    <col width="14" customWidth="1" min="7" max="7"/>
    <col width="28" customWidth="1" min="8" max="8"/>
    <col width="24" customWidth="1" min="9" max="9"/>
    <col width="18" customWidth="1" min="10" max="10"/>
    <col width="10" customWidth="1" min="11" max="11"/>
    <col width="14" customWidth="1" min="12" max="12"/>
    <col width="20" customWidth="1" min="13" max="13"/>
    <col width="22" customWidth="1" min="14" max="14"/>
    <col width="12" customWidth="1" min="15" max="15"/>
  </cols>
  <sheetData>
    <row r="1">
      <c r="A1" s="8" t="inlineStr">
        <is>
          <t>Artifact Registry</t>
        </is>
      </c>
    </row>
    <row r="2">
      <c r="A2" s="2" t="inlineStr">
        <is>
          <t>Governed objects with persistent Artifact IDs. Never depend on filenames, paths, or URLs as identity.</t>
        </is>
      </c>
    </row>
    <row r="3">
      <c r="A3" t="inlineStr">
        <is>
          <t>Artifact IDs are typed manually and are immutable. Grammar: PL-{DOMAIN}-{MODULE}-{YYYY}-{NNNNN}. See Control!A28. Never formula-derive an ID.</t>
        </is>
      </c>
    </row>
    <row r="4">
      <c r="A4" s="3" t="inlineStr">
        <is>
          <t>Artifact ID</t>
        </is>
      </c>
      <c r="B4" s="3" t="inlineStr">
        <is>
          <t>Artifact Name</t>
        </is>
      </c>
      <c r="C4" s="3" t="inlineStr">
        <is>
          <t>Module</t>
        </is>
      </c>
      <c r="D4" s="3" t="inlineStr">
        <is>
          <t>Lane</t>
        </is>
      </c>
      <c r="E4" s="3" t="inlineStr">
        <is>
          <t>Family</t>
        </is>
      </c>
      <c r="F4" s="3" t="inlineStr">
        <is>
          <t>Nature</t>
        </is>
      </c>
      <c r="G4" s="3" t="inlineStr">
        <is>
          <t>Lifecycle</t>
        </is>
      </c>
      <c r="H4" s="3" t="inlineStr">
        <is>
          <t>Authority</t>
        </is>
      </c>
      <c r="I4" s="3" t="inlineStr">
        <is>
          <t>Owner</t>
        </is>
      </c>
      <c r="J4" s="3" t="inlineStr">
        <is>
          <t>Retention</t>
        </is>
      </c>
      <c r="K4" s="3" t="inlineStr">
        <is>
          <t>Version</t>
        </is>
      </c>
      <c r="L4" s="3" t="inlineStr">
        <is>
          <t>Status</t>
        </is>
      </c>
      <c r="M4" s="3" t="inlineStr">
        <is>
          <t>Source System</t>
        </is>
      </c>
      <c r="N4" s="3" t="inlineStr">
        <is>
          <t>Last Event</t>
        </is>
      </c>
      <c r="O4" s="3" t="inlineStr">
        <is>
          <t>Risk</t>
        </is>
      </c>
      <c r="P4" s="14" t="inlineStr">
        <is>
          <t>Case ID</t>
        </is>
      </c>
      <c r="Q4" s="14" t="inlineStr">
        <is>
          <t>Claim Status</t>
        </is>
      </c>
      <c r="R4" s="14" t="inlineStr">
        <is>
          <t>Sensitivity</t>
        </is>
      </c>
    </row>
    <row r="5">
      <c r="A5" s="10" t="inlineStr">
        <is>
          <t>PL-MUNI-PRR-2026-00142</t>
        </is>
      </c>
      <c r="B5" s="10" t="inlineStr">
        <is>
          <t>PRR Acknowledgment Template</t>
        </is>
      </c>
      <c r="C5" s="10" t="inlineStr">
        <is>
          <t>PRR</t>
        </is>
      </c>
      <c r="D5" s="10" t="inlineStr">
        <is>
          <t>MUNI</t>
        </is>
      </c>
      <c r="E5" s="10" t="inlineStr">
        <is>
          <t>Intake &amp; Authorization</t>
        </is>
      </c>
      <c r="F5" s="10" t="inlineStr">
        <is>
          <t>Template</t>
        </is>
      </c>
      <c r="G5" s="10" t="inlineStr">
        <is>
          <t>CaseSpace</t>
        </is>
      </c>
      <c r="H5" s="10" t="inlineStr">
        <is>
          <t>M.G.L. c. 66, § 10</t>
        </is>
      </c>
      <c r="I5" s="10" t="inlineStr">
        <is>
          <t>Records Access Officer</t>
        </is>
      </c>
      <c r="J5" s="10" t="inlineStr">
        <is>
          <t>Permanent</t>
        </is>
      </c>
      <c r="K5" s="10" t="inlineStr">
        <is>
          <t>v1.0</t>
        </is>
      </c>
      <c r="L5" s="10" t="inlineStr">
        <is>
          <t>Built</t>
        </is>
      </c>
      <c r="M5" s="10" t="inlineStr">
        <is>
          <t>Excel Workbook</t>
        </is>
      </c>
      <c r="N5" s="10" t="inlineStr">
        <is>
          <t>ArtifactValidated</t>
        </is>
      </c>
      <c r="O5" s="10" t="inlineStr">
        <is>
          <t>Low</t>
        </is>
      </c>
      <c r="Q5" t="inlineStr">
        <is>
          <t>CONFIRMED</t>
        </is>
      </c>
      <c r="R5" t="inlineStr">
        <is>
          <t>public</t>
        </is>
      </c>
    </row>
    <row r="6">
      <c r="A6" s="10" t="inlineStr">
        <is>
          <t>PL-GRANT-GRNT-2026-00008</t>
        </is>
      </c>
      <c r="B6" s="10" t="inlineStr">
        <is>
          <t>Grant Report Package</t>
        </is>
      </c>
      <c r="C6" s="10" t="inlineStr">
        <is>
          <t>Grants</t>
        </is>
      </c>
      <c r="D6" s="10" t="inlineStr">
        <is>
          <t>PROJECT</t>
        </is>
      </c>
      <c r="E6" s="10" t="inlineStr">
        <is>
          <t>Transaction &amp; Compliance</t>
        </is>
      </c>
      <c r="F6" s="10" t="inlineStr">
        <is>
          <t>Instance</t>
        </is>
      </c>
      <c r="G6" s="10" t="inlineStr">
        <is>
          <t>ARCHIEVE</t>
        </is>
      </c>
      <c r="H6" s="10" t="inlineStr">
        <is>
          <t>2 C.F.R. § 200</t>
        </is>
      </c>
      <c r="I6" s="10" t="inlineStr">
        <is>
          <t>Grant Manager</t>
        </is>
      </c>
      <c r="J6" s="10" t="inlineStr">
        <is>
          <t>Long 7-30y</t>
        </is>
      </c>
      <c r="K6" s="10" t="inlineStr">
        <is>
          <t>v1.2</t>
        </is>
      </c>
      <c r="L6" s="10" t="inlineStr">
        <is>
          <t>Archived</t>
        </is>
      </c>
      <c r="M6" s="10" t="inlineStr">
        <is>
          <t>Microsoft 365</t>
        </is>
      </c>
      <c r="N6" s="10" t="inlineStr">
        <is>
          <t>ArtifactArchived</t>
        </is>
      </c>
      <c r="O6" s="10" t="inlineStr">
        <is>
          <t>Low</t>
        </is>
      </c>
      <c r="Q6" t="inlineStr">
        <is>
          <t>CONFIRMED</t>
        </is>
      </c>
      <c r="R6" t="inlineStr">
        <is>
          <t>restricted</t>
        </is>
      </c>
    </row>
    <row r="7">
      <c r="A7" s="10" t="inlineStr">
        <is>
          <t>PL-BIZ-HIRE-2026-00017</t>
        </is>
      </c>
      <c r="B7" s="10" t="inlineStr">
        <is>
          <t>Offer Letter Template</t>
        </is>
      </c>
      <c r="C7" s="10" t="inlineStr">
        <is>
          <t>Hiring &amp; Onboarding</t>
        </is>
      </c>
      <c r="D7" s="10" t="inlineStr">
        <is>
          <t>BIZ</t>
        </is>
      </c>
      <c r="E7" s="10" t="inlineStr">
        <is>
          <t>Transaction &amp; Compliance</t>
        </is>
      </c>
      <c r="F7" s="10" t="inlineStr">
        <is>
          <t>Template</t>
        </is>
      </c>
      <c r="G7" s="10" t="inlineStr">
        <is>
          <t>CaseSpace</t>
        </is>
      </c>
      <c r="H7" s="10" t="inlineStr">
        <is>
          <t>I-9 / W-4 / personnel file</t>
        </is>
      </c>
      <c r="I7" s="10" t="inlineStr">
        <is>
          <t>Operations Lead</t>
        </is>
      </c>
      <c r="J7" s="10" t="inlineStr">
        <is>
          <t>Standard 3-7y</t>
        </is>
      </c>
      <c r="K7" s="10" t="inlineStr">
        <is>
          <t>v0.8</t>
        </is>
      </c>
      <c r="L7" s="10" t="inlineStr">
        <is>
          <t>Spec</t>
        </is>
      </c>
      <c r="M7" s="10" t="inlineStr">
        <is>
          <t>Excel Workbook</t>
        </is>
      </c>
      <c r="N7" s="10" t="inlineStr">
        <is>
          <t>ArtifactModified</t>
        </is>
      </c>
      <c r="O7" s="10" t="inlineStr">
        <is>
          <t>Medium</t>
        </is>
      </c>
      <c r="Q7" t="inlineStr">
        <is>
          <t>PENDING</t>
        </is>
      </c>
      <c r="R7" t="inlineStr">
        <is>
          <t>confidential</t>
        </is>
      </c>
    </row>
    <row r="8">
      <c r="A8" s="10" t="inlineStr">
        <is>
          <t>PL-STAY-OPS-2026-00003</t>
        </is>
      </c>
      <c r="B8" s="10" t="inlineStr">
        <is>
          <t>Kendall Pond Turnover Checklist</t>
        </is>
      </c>
      <c r="C8" s="10" t="inlineStr">
        <is>
          <t>STAY Operations</t>
        </is>
      </c>
      <c r="D8" s="10" t="inlineStr">
        <is>
          <t>STAY</t>
        </is>
      </c>
      <c r="E8" s="10" t="inlineStr">
        <is>
          <t>Operating Guidance</t>
        </is>
      </c>
      <c r="F8" s="10" t="inlineStr">
        <is>
          <t>Instance</t>
        </is>
      </c>
      <c r="G8" s="10" t="inlineStr">
        <is>
          <t>CaseSpace</t>
        </is>
      </c>
      <c r="H8" s="10" t="inlineStr">
        <is>
          <t>Internal operating policy</t>
        </is>
      </c>
      <c r="I8" s="10" t="inlineStr">
        <is>
          <t>Property Lead</t>
        </is>
      </c>
      <c r="J8" s="10" t="inlineStr">
        <is>
          <t>Current + prior</t>
        </is>
      </c>
      <c r="K8" s="10" t="inlineStr">
        <is>
          <t>v1.1</t>
        </is>
      </c>
      <c r="L8" s="10" t="inlineStr">
        <is>
          <t>Active</t>
        </is>
      </c>
      <c r="M8" s="10" t="inlineStr">
        <is>
          <t>Google Workspace</t>
        </is>
      </c>
      <c r="N8" s="10" t="inlineStr">
        <is>
          <t>LifecycleAdvanced</t>
        </is>
      </c>
      <c r="O8" s="10" t="inlineStr">
        <is>
          <t>Low</t>
        </is>
      </c>
      <c r="P8" t="inlineStr">
        <is>
          <t>CS-2026-01</t>
        </is>
      </c>
      <c r="Q8" t="inlineStr">
        <is>
          <t>CONFIRMED</t>
        </is>
      </c>
      <c r="R8" t="inlineStr">
        <is>
          <t>internal</t>
        </is>
      </c>
    </row>
    <row r="9">
      <c r="A9" s="10" t="inlineStr">
        <is>
          <t>PL-MUNI-PROC-2026-00021</t>
        </is>
      </c>
      <c r="B9" s="10" t="inlineStr">
        <is>
          <t>IFB/RFP Shell</t>
        </is>
      </c>
      <c r="C9" s="10" t="inlineStr">
        <is>
          <t>Procurement</t>
        </is>
      </c>
      <c r="D9" s="10" t="inlineStr">
        <is>
          <t>MUNI</t>
        </is>
      </c>
      <c r="E9" s="10" t="inlineStr">
        <is>
          <t>Plans &amp; Commitments</t>
        </is>
      </c>
      <c r="F9" s="10" t="inlineStr">
        <is>
          <t>Template</t>
        </is>
      </c>
      <c r="G9" s="10" t="inlineStr">
        <is>
          <t>DocDump</t>
        </is>
      </c>
      <c r="H9" s="10" t="inlineStr">
        <is>
          <t>M.G.L. c. 30B</t>
        </is>
      </c>
      <c r="I9" s="10" t="inlineStr">
        <is>
          <t>Procurement Officer</t>
        </is>
      </c>
      <c r="J9" s="10" t="inlineStr">
        <is>
          <t>Long 7-30y</t>
        </is>
      </c>
      <c r="K9" s="10" t="inlineStr">
        <is>
          <t>v0.5</t>
        </is>
      </c>
      <c r="L9" s="10" t="inlineStr">
        <is>
          <t>Spec</t>
        </is>
      </c>
      <c r="M9" s="10" t="inlineStr">
        <is>
          <t>Excel Workbook</t>
        </is>
      </c>
      <c r="N9" s="10" t="inlineStr">
        <is>
          <t>EvidenceGapDetected</t>
        </is>
      </c>
      <c r="O9" s="10" t="inlineStr">
        <is>
          <t>High</t>
        </is>
      </c>
      <c r="Q9" t="inlineStr">
        <is>
          <t>CONDITIONAL</t>
        </is>
      </c>
      <c r="R9" t="inlineStr">
        <is>
          <t>internal</t>
        </is>
      </c>
    </row>
    <row r="10">
      <c r="A10" s="10" t="inlineStr">
        <is>
          <t>PL-PROD-PJ-2026-00001</t>
        </is>
      </c>
      <c r="B10" s="10" t="inlineStr">
        <is>
          <t>PuddleJumper Event Envelope</t>
        </is>
      </c>
      <c r="C10" s="10" t="inlineStr">
        <is>
          <t>PuddleJumper</t>
        </is>
      </c>
      <c r="D10" s="10" t="inlineStr">
        <is>
          <t>PROJECT</t>
        </is>
      </c>
      <c r="E10" s="10" t="inlineStr">
        <is>
          <t>Operating Guidance</t>
        </is>
      </c>
      <c r="F10" s="10" t="inlineStr">
        <is>
          <t>Template</t>
        </is>
      </c>
      <c r="G10" s="10" t="inlineStr">
        <is>
          <t>ARCHIEVE</t>
        </is>
      </c>
      <c r="H10" s="10" t="inlineStr">
        <is>
          <t>PublicLogic canon</t>
        </is>
      </c>
      <c r="I10" s="10" t="inlineStr">
        <is>
          <t>Product Owner</t>
        </is>
      </c>
      <c r="J10" s="10" t="inlineStr">
        <is>
          <t>Permanent</t>
        </is>
      </c>
      <c r="K10" s="10" t="inlineStr">
        <is>
          <t>v1.0</t>
        </is>
      </c>
      <c r="L10" s="10" t="inlineStr">
        <is>
          <t>Validated</t>
        </is>
      </c>
      <c r="M10" s="10" t="inlineStr">
        <is>
          <t>GitHub</t>
        </is>
      </c>
      <c r="N10" s="10" t="inlineStr">
        <is>
          <t>ModuleReady</t>
        </is>
      </c>
      <c r="O10" s="10" t="inlineStr">
        <is>
          <t>Low</t>
        </is>
      </c>
      <c r="Q10" t="inlineStr">
        <is>
          <t>CONFIRMED</t>
        </is>
      </c>
      <c r="R10" t="inlineStr">
        <is>
          <t>internal</t>
        </is>
      </c>
    </row>
    <row r="11">
      <c r="A11" t="inlineStr">
        <is>
          <t>PL-STAY-CASE-2026-00001</t>
        </is>
      </c>
      <c r="B11" t="inlineStr">
        <is>
          <t>CS-2026-01 Intake FORM</t>
        </is>
      </c>
      <c r="C11" t="inlineStr">
        <is>
          <t>CaseSpace</t>
        </is>
      </c>
      <c r="D11" t="inlineStr">
        <is>
          <t>STAY</t>
        </is>
      </c>
      <c r="E11" t="inlineStr">
        <is>
          <t>Intake &amp; Authorization</t>
        </is>
      </c>
      <c r="F11" t="inlineStr">
        <is>
          <t>Instance</t>
        </is>
      </c>
      <c r="G11" t="inlineStr">
        <is>
          <t>FORM</t>
        </is>
      </c>
      <c r="H11" t="inlineStr">
        <is>
          <t>Internal operating policy</t>
        </is>
      </c>
      <c r="I11" t="inlineStr">
        <is>
          <t>Property Lead</t>
        </is>
      </c>
      <c r="J11" t="inlineStr">
        <is>
          <t>Standard 3-7y</t>
        </is>
      </c>
      <c r="K11" t="inlineStr">
        <is>
          <t>v1.0</t>
        </is>
      </c>
      <c r="L11" t="inlineStr">
        <is>
          <t>Active</t>
        </is>
      </c>
      <c r="M11" t="inlineStr">
        <is>
          <t>Excel Workbook</t>
        </is>
      </c>
      <c r="N11" t="inlineStr">
        <is>
          <t>ArtifactCreated</t>
        </is>
      </c>
      <c r="O11" t="inlineStr">
        <is>
          <t>Low</t>
        </is>
      </c>
      <c r="P11" t="inlineStr">
        <is>
          <t>CS-2026-01</t>
        </is>
      </c>
      <c r="Q11" t="inlineStr">
        <is>
          <t>CONFIRMED</t>
        </is>
      </c>
      <c r="R11" t="inlineStr">
        <is>
          <t>internal</t>
        </is>
      </c>
    </row>
    <row r="12">
      <c r="A12" t="inlineStr">
        <is>
          <t>PL-STAY-CASE-2026-00002</t>
        </is>
      </c>
      <c r="B12" t="inlineStr">
        <is>
          <t>Evidence Request: 06-15 turnover photos</t>
        </is>
      </c>
      <c r="C12" t="inlineStr">
        <is>
          <t>CaseSpace</t>
        </is>
      </c>
      <c r="D12" t="inlineStr">
        <is>
          <t>STAY</t>
        </is>
      </c>
      <c r="E12" t="inlineStr">
        <is>
          <t>Source &amp; Evidence</t>
        </is>
      </c>
      <c r="F12" t="inlineStr">
        <is>
          <t>Instance</t>
        </is>
      </c>
      <c r="G12" t="inlineStr">
        <is>
          <t>DocDump</t>
        </is>
      </c>
      <c r="H12" t="inlineStr">
        <is>
          <t>Internal operating policy</t>
        </is>
      </c>
      <c r="I12" t="inlineStr">
        <is>
          <t>Property Lead</t>
        </is>
      </c>
      <c r="J12" t="inlineStr">
        <is>
          <t>Standard 3-7y</t>
        </is>
      </c>
      <c r="K12" t="inlineStr">
        <is>
          <t>v1.0</t>
        </is>
      </c>
      <c r="L12" t="inlineStr">
        <is>
          <t>Exception</t>
        </is>
      </c>
      <c r="M12" t="inlineStr">
        <is>
          <t>Google Workspace</t>
        </is>
      </c>
      <c r="N12" t="inlineStr">
        <is>
          <t>EvidenceGapDetected</t>
        </is>
      </c>
      <c r="O12" t="inlineStr">
        <is>
          <t>High</t>
        </is>
      </c>
      <c r="P12" t="inlineStr">
        <is>
          <t>CS-2026-01</t>
        </is>
      </c>
      <c r="Q12" t="inlineStr">
        <is>
          <t>PENDING</t>
        </is>
      </c>
      <c r="R12" t="inlineStr">
        <is>
          <t>internal</t>
        </is>
      </c>
    </row>
    <row r="13">
      <c r="A13" t="inlineStr">
        <is>
          <t>PL-STAY-CASE-2026-00003</t>
        </is>
      </c>
      <c r="B13" t="inlineStr">
        <is>
          <t>Decision: view-only guestbook, no PMS</t>
        </is>
      </c>
      <c r="C13" t="inlineStr">
        <is>
          <t>CaseSpace</t>
        </is>
      </c>
      <c r="D13" t="inlineStr">
        <is>
          <t>STAY</t>
        </is>
      </c>
      <c r="E13" t="inlineStr">
        <is>
          <t>Recommendation &amp; Decision</t>
        </is>
      </c>
      <c r="F13" t="inlineStr">
        <is>
          <t>Instance</t>
        </is>
      </c>
      <c r="G13" t="inlineStr">
        <is>
          <t>CaseSpace</t>
        </is>
      </c>
      <c r="H13" t="inlineStr">
        <is>
          <t>Internal operating policy</t>
        </is>
      </c>
      <c r="I13" t="inlineStr">
        <is>
          <t>Property Lead</t>
        </is>
      </c>
      <c r="J13" t="inlineStr">
        <is>
          <t>Permanent</t>
        </is>
      </c>
      <c r="K13" t="inlineStr">
        <is>
          <t>v1.0</t>
        </is>
      </c>
      <c r="L13" t="inlineStr">
        <is>
          <t>Approved</t>
        </is>
      </c>
      <c r="M13" t="inlineStr">
        <is>
          <t>Excel Workbook</t>
        </is>
      </c>
      <c r="N13" t="inlineStr">
        <is>
          <t>ArtifactApproved</t>
        </is>
      </c>
      <c r="O13" t="inlineStr">
        <is>
          <t>Low</t>
        </is>
      </c>
      <c r="P13" t="inlineStr">
        <is>
          <t>CS-2026-01</t>
        </is>
      </c>
      <c r="Q13" t="inlineStr">
        <is>
          <t>CONFIRMED</t>
        </is>
      </c>
      <c r="R13" t="inlineStr">
        <is>
          <t>internal</t>
        </is>
      </c>
    </row>
    <row r="14">
      <c r="A14" t="inlineStr">
        <is>
          <t>PL-STAY-SIG-2026-00001</t>
        </is>
      </c>
      <c r="B14" t="inlineStr">
        <is>
          <t>Held signal: guest check-in question</t>
        </is>
      </c>
      <c r="C14" t="inlineStr">
        <is>
          <t>CaseSpace</t>
        </is>
      </c>
      <c r="D14" t="inlineStr">
        <is>
          <t>STAY</t>
        </is>
      </c>
      <c r="E14" t="inlineStr">
        <is>
          <t>Source &amp; Evidence</t>
        </is>
      </c>
      <c r="F14" t="inlineStr">
        <is>
          <t>Instance</t>
        </is>
      </c>
      <c r="G14" t="inlineStr">
        <is>
          <t>FORM</t>
        </is>
      </c>
      <c r="H14" t="inlineStr">
        <is>
          <t>Internal operating policy</t>
        </is>
      </c>
      <c r="I14" t="inlineStr">
        <is>
          <t>Property Lead</t>
        </is>
      </c>
      <c r="J14" t="inlineStr">
        <is>
          <t>Standard 3-7y</t>
        </is>
      </c>
      <c r="K14" t="inlineStr">
        <is>
          <t>v1.0</t>
        </is>
      </c>
      <c r="L14" t="inlineStr">
        <is>
          <t>Exception</t>
        </is>
      </c>
      <c r="M14" t="inlineStr">
        <is>
          <t>Google Workspace</t>
        </is>
      </c>
      <c r="N14" t="inlineStr">
        <is>
          <t>SignalHeldForReview</t>
        </is>
      </c>
      <c r="O14" t="inlineStr">
        <is>
          <t>Low</t>
        </is>
      </c>
      <c r="Q14" t="inlineStr">
        <is>
          <t>PENDING</t>
        </is>
      </c>
      <c r="R14" t="inlineStr">
        <is>
          <t>internal</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0" customWidth="1" min="1" max="1"/>
    <col width="22" customWidth="1" min="2" max="2"/>
    <col width="24" customWidth="1" min="3" max="3"/>
    <col width="24" customWidth="1" min="4" max="4"/>
    <col width="28" customWidth="1" min="5" max="5"/>
    <col width="14" customWidth="1" min="6" max="6"/>
    <col width="14" customWidth="1" min="7" max="7"/>
    <col width="22" customWidth="1" min="8" max="8"/>
    <col width="28" customWidth="1" min="9" max="9"/>
    <col width="20" customWidth="1" min="10" max="10"/>
    <col width="10" customWidth="1" min="11" max="11"/>
    <col width="14" customWidth="1" min="12" max="12"/>
    <col width="18" customWidth="1" min="13" max="13"/>
    <col width="48" customWidth="1" min="14" max="14"/>
    <col width="12" customWidth="1" min="15" max="15"/>
  </cols>
  <sheetData>
    <row r="1">
      <c r="A1" s="8" t="inlineStr">
        <is>
          <t>PuddleJumper Event Log</t>
        </is>
      </c>
    </row>
    <row r="2">
      <c r="A2" s="2" t="inlineStr">
        <is>
          <t>Pattern-smart observation layer: observed source changes normalized into governed facts.</t>
        </is>
      </c>
    </row>
    <row r="4">
      <c r="A4" s="3" t="inlineStr">
        <is>
          <t>Event ID</t>
        </is>
      </c>
      <c r="B4" s="3" t="inlineStr">
        <is>
          <t>Timestamp</t>
        </is>
      </c>
      <c r="C4" s="3" t="inlineStr">
        <is>
          <t>Event Type</t>
        </is>
      </c>
      <c r="D4" s="3" t="inlineStr">
        <is>
          <t>Artifact ID</t>
        </is>
      </c>
      <c r="E4" s="3" t="inlineStr">
        <is>
          <t>Family</t>
        </is>
      </c>
      <c r="F4" s="3" t="inlineStr">
        <is>
          <t>Nature</t>
        </is>
      </c>
      <c r="G4" s="3" t="inlineStr">
        <is>
          <t>Lifecycle</t>
        </is>
      </c>
      <c r="H4" s="3" t="inlineStr">
        <is>
          <t>Owner</t>
        </is>
      </c>
      <c r="I4" s="3" t="inlineStr">
        <is>
          <t>Authority</t>
        </is>
      </c>
      <c r="J4" s="3" t="inlineStr">
        <is>
          <t>Source System</t>
        </is>
      </c>
      <c r="K4" s="3" t="inlineStr">
        <is>
          <t>Version</t>
        </is>
      </c>
      <c r="L4" s="3" t="inlineStr">
        <is>
          <t>Significance</t>
        </is>
      </c>
      <c r="M4" s="3" t="inlineStr">
        <is>
          <t>Consumer</t>
        </is>
      </c>
      <c r="N4" s="3" t="inlineStr">
        <is>
          <t>Metadata</t>
        </is>
      </c>
      <c r="O4" s="3" t="inlineStr">
        <is>
          <t>Valid?</t>
        </is>
      </c>
      <c r="P4" s="14" t="inlineStr">
        <is>
          <t>Resolved</t>
        </is>
      </c>
      <c r="Q4" s="14" t="inlineStr">
        <is>
          <t>Case ID</t>
        </is>
      </c>
      <c r="R4" s="14" t="inlineStr">
        <is>
          <t>PRR Kind</t>
        </is>
      </c>
    </row>
    <row r="5">
      <c r="A5" s="10" t="inlineStr">
        <is>
          <t>EVT-2026-000001</t>
        </is>
      </c>
      <c r="B5" s="21" t="n">
        <v>46212.375</v>
      </c>
      <c r="C5" s="10" t="inlineStr">
        <is>
          <t>ArtifactValidated</t>
        </is>
      </c>
      <c r="D5" s="10" t="inlineStr">
        <is>
          <t>PL-MUNI-PRR-2026-00142</t>
        </is>
      </c>
      <c r="E5" s="10" t="inlineStr">
        <is>
          <t>Intake &amp; Authorization</t>
        </is>
      </c>
      <c r="F5" s="10" t="inlineStr">
        <is>
          <t>Template</t>
        </is>
      </c>
      <c r="G5" s="10" t="inlineStr">
        <is>
          <t>CaseSpace</t>
        </is>
      </c>
      <c r="H5" s="10" t="inlineStr">
        <is>
          <t>Records Access Officer</t>
        </is>
      </c>
      <c r="I5" s="10" t="inlineStr">
        <is>
          <t>M.G.L. c. 66, § 10</t>
        </is>
      </c>
      <c r="J5" s="10" t="inlineStr">
        <is>
          <t>Excel Workbook</t>
        </is>
      </c>
      <c r="K5" s="10" t="inlineStr">
        <is>
          <t>v1.0</t>
        </is>
      </c>
      <c r="L5" s="10" t="inlineStr">
        <is>
          <t>Info</t>
        </is>
      </c>
      <c r="M5" s="10" t="inlineStr">
        <is>
          <t>Audit Log</t>
        </is>
      </c>
      <c r="N5" s="10" t="inlineStr">
        <is>
          <t>{"rule":"authority_present"}</t>
        </is>
      </c>
      <c r="O5" s="10">
        <f>IF(A5="","",IF(AND(COUNTIF(EventTypeList,C5)&gt;0,COUNTIF('Artifact Registry'!$A$5:$A$200,D5)&gt;0,COUNTIF(FamilyList,E5)&gt;0,COUNTIF(NatureList,F5)&gt;0,COUNTIF(LifecycleList,G5)&gt;0,COUNTIF(SignificanceList,L5)&gt;0,COUNTIF(ConsumerList,M5)&gt;0),"PASS","CHECK"))</f>
        <v/>
      </c>
      <c r="P5" t="inlineStr">
        <is>
          <t>No</t>
        </is>
      </c>
      <c r="R5" t="inlineStr">
        <is>
          <t>NOTE</t>
        </is>
      </c>
    </row>
    <row r="6">
      <c r="A6" s="10" t="inlineStr">
        <is>
          <t>EVT-2026-000002</t>
        </is>
      </c>
      <c r="B6" s="21" t="n">
        <v>46212.38263888889</v>
      </c>
      <c r="C6" s="10" t="inlineStr">
        <is>
          <t>ArtifactArchived</t>
        </is>
      </c>
      <c r="D6" s="10" t="inlineStr">
        <is>
          <t>PL-GRANT-GRNT-2026-00008</t>
        </is>
      </c>
      <c r="E6" s="10" t="inlineStr">
        <is>
          <t>Transaction &amp; Compliance</t>
        </is>
      </c>
      <c r="F6" s="10" t="inlineStr">
        <is>
          <t>Instance</t>
        </is>
      </c>
      <c r="G6" s="10" t="inlineStr">
        <is>
          <t>ARCHIEVE</t>
        </is>
      </c>
      <c r="H6" s="10" t="inlineStr">
        <is>
          <t>Grant Manager</t>
        </is>
      </c>
      <c r="I6" s="10" t="inlineStr">
        <is>
          <t>2 C.F.R. § 200</t>
        </is>
      </c>
      <c r="J6" s="10" t="inlineStr">
        <is>
          <t>Microsoft 365</t>
        </is>
      </c>
      <c r="K6" s="10" t="inlineStr">
        <is>
          <t>v1.2</t>
        </is>
      </c>
      <c r="L6" s="10" t="inlineStr">
        <is>
          <t>Info</t>
        </is>
      </c>
      <c r="M6" s="10" t="inlineStr">
        <is>
          <t>ARCHIEVE</t>
        </is>
      </c>
      <c r="N6" s="10" t="inlineStr">
        <is>
          <t>{"old_lifecycle":"CaseSpace","new_lifecycle":"ARCHIEVE"}</t>
        </is>
      </c>
      <c r="O6" s="10">
        <f>IF(A6="","",IF(AND(COUNTIF(EventTypeList,C6)&gt;0,COUNTIF('Artifact Registry'!$A$5:$A$200,D6)&gt;0,COUNTIF(FamilyList,E6)&gt;0,COUNTIF(NatureList,F6)&gt;0,COUNTIF(LifecycleList,G6)&gt;0,COUNTIF(SignificanceList,L6)&gt;0,COUNTIF(ConsumerList,M6)&gt;0),"PASS","CHECK"))</f>
        <v/>
      </c>
      <c r="P6" t="inlineStr">
        <is>
          <t>No</t>
        </is>
      </c>
      <c r="R6" t="inlineStr">
        <is>
          <t>SEAL</t>
        </is>
      </c>
    </row>
    <row r="7">
      <c r="A7" s="10" t="inlineStr">
        <is>
          <t>EVT-2026-000003</t>
        </is>
      </c>
      <c r="B7" s="21" t="n">
        <v>46212.39027777778</v>
      </c>
      <c r="C7" s="10" t="inlineStr">
        <is>
          <t>EvidenceGapDetected</t>
        </is>
      </c>
      <c r="D7" s="10" t="inlineStr">
        <is>
          <t>PL-MUNI-PROC-2026-00021</t>
        </is>
      </c>
      <c r="E7" s="10" t="inlineStr">
        <is>
          <t>Plans &amp; Commitments</t>
        </is>
      </c>
      <c r="F7" s="10" t="inlineStr">
        <is>
          <t>Template</t>
        </is>
      </c>
      <c r="G7" s="10" t="inlineStr">
        <is>
          <t>DocDump</t>
        </is>
      </c>
      <c r="H7" s="10" t="inlineStr">
        <is>
          <t>Procurement Officer</t>
        </is>
      </c>
      <c r="I7" s="10" t="inlineStr">
        <is>
          <t>M.G.L. c. 30B</t>
        </is>
      </c>
      <c r="J7" s="10" t="inlineStr">
        <is>
          <t>Excel Workbook</t>
        </is>
      </c>
      <c r="K7" s="10" t="inlineStr">
        <is>
          <t>v0.5</t>
        </is>
      </c>
      <c r="L7" s="10" t="inlineStr">
        <is>
          <t>Critical</t>
        </is>
      </c>
      <c r="M7" s="10" t="inlineStr">
        <is>
          <t>Email Alerts</t>
        </is>
      </c>
      <c r="N7" s="10" t="inlineStr">
        <is>
          <t>{"missing":"COI certification"}</t>
        </is>
      </c>
      <c r="O7" s="10">
        <f>IF(A7="","",IF(AND(COUNTIF(EventTypeList,C7)&gt;0,COUNTIF('Artifact Registry'!$A$5:$A$200,D7)&gt;0,COUNTIF(FamilyList,E7)&gt;0,COUNTIF(NatureList,F7)&gt;0,COUNTIF(LifecycleList,G7)&gt;0,COUNTIF(SignificanceList,L7)&gt;0,COUNTIF(ConsumerList,M7)&gt;0),"PASS","CHECK"))</f>
        <v/>
      </c>
      <c r="P7" t="inlineStr">
        <is>
          <t>No</t>
        </is>
      </c>
      <c r="R7" t="inlineStr">
        <is>
          <t>EVIDENCE</t>
        </is>
      </c>
    </row>
    <row r="8">
      <c r="A8" s="10" t="inlineStr">
        <is>
          <t>EVT-2026-000004</t>
        </is>
      </c>
      <c r="B8" s="21" t="n">
        <v>46212.39791666667</v>
      </c>
      <c r="C8" s="10" t="inlineStr">
        <is>
          <t>ModuleReady</t>
        </is>
      </c>
      <c r="D8" s="10" t="inlineStr">
        <is>
          <t>PL-PROD-PJ-2026-00001</t>
        </is>
      </c>
      <c r="E8" s="10" t="inlineStr">
        <is>
          <t>Operating Guidance</t>
        </is>
      </c>
      <c r="F8" s="10" t="inlineStr">
        <is>
          <t>Template</t>
        </is>
      </c>
      <c r="G8" s="10" t="inlineStr">
        <is>
          <t>ARCHIEVE</t>
        </is>
      </c>
      <c r="H8" s="10" t="inlineStr">
        <is>
          <t>Product Owner</t>
        </is>
      </c>
      <c r="I8" s="10" t="inlineStr">
        <is>
          <t>PublicLogic canon</t>
        </is>
      </c>
      <c r="J8" s="10" t="inlineStr">
        <is>
          <t>GitHub</t>
        </is>
      </c>
      <c r="K8" s="10" t="inlineStr">
        <is>
          <t>v1.0</t>
        </is>
      </c>
      <c r="L8" s="10" t="inlineStr">
        <is>
          <t>Info</t>
        </is>
      </c>
      <c r="M8" s="10" t="inlineStr">
        <is>
          <t>Dashboard</t>
        </is>
      </c>
      <c r="N8" s="10" t="inlineStr">
        <is>
          <t>{"module":"PuddleJumper"}</t>
        </is>
      </c>
      <c r="O8" s="10">
        <f>IF(A8="","",IF(AND(COUNTIF(EventTypeList,C8)&gt;0,COUNTIF('Artifact Registry'!$A$5:$A$200,D8)&gt;0,COUNTIF(FamilyList,E8)&gt;0,COUNTIF(NatureList,F8)&gt;0,COUNTIF(LifecycleList,G8)&gt;0,COUNTIF(SignificanceList,L8)&gt;0,COUNTIF(ConsumerList,M8)&gt;0),"PASS","CHECK"))</f>
        <v/>
      </c>
      <c r="P8" t="inlineStr">
        <is>
          <t>No</t>
        </is>
      </c>
      <c r="R8" t="inlineStr">
        <is>
          <t>NOTE</t>
        </is>
      </c>
    </row>
    <row r="9">
      <c r="A9" s="10" t="inlineStr">
        <is>
          <t>EVT-2026-000005</t>
        </is>
      </c>
      <c r="B9" s="21" t="inlineStr">
        <is>
          <t>2026-06-13 09:00</t>
        </is>
      </c>
      <c r="C9" s="10" t="inlineStr">
        <is>
          <t>ArtifactCreated</t>
        </is>
      </c>
      <c r="D9" s="10" t="inlineStr">
        <is>
          <t>PL-STAY-CASE-2026-00001</t>
        </is>
      </c>
      <c r="E9" s="10" t="inlineStr">
        <is>
          <t>Intake &amp; Authorization</t>
        </is>
      </c>
      <c r="F9" s="10" t="inlineStr">
        <is>
          <t>Instance</t>
        </is>
      </c>
      <c r="G9" s="10" t="inlineStr">
        <is>
          <t>FORM</t>
        </is>
      </c>
      <c r="H9" s="10" t="inlineStr">
        <is>
          <t>Property Lead</t>
        </is>
      </c>
      <c r="I9" s="10" t="inlineStr">
        <is>
          <t>Internal operating policy</t>
        </is>
      </c>
      <c r="J9" s="10" t="inlineStr">
        <is>
          <t>Excel Workbook</t>
        </is>
      </c>
      <c r="K9" s="10" t="inlineStr">
        <is>
          <t>v1.0</t>
        </is>
      </c>
      <c r="L9" s="10" t="inlineStr">
        <is>
          <t>Info</t>
        </is>
      </c>
      <c r="M9" s="10" t="inlineStr">
        <is>
          <t>Dashboard</t>
        </is>
      </c>
      <c r="N9" s="10" t="inlineStr">
        <is>
          <t>{"seed":"Airbnb listing"}</t>
        </is>
      </c>
      <c r="O9" s="10">
        <f>IF(A9="","",IF(AND(COUNTIF(EventTypeList,C9)&gt;0,COUNTIF('Artifact Registry'!$A$5:$A$200,D9)&gt;0,COUNTIF(FamilyList,E9)&gt;0,COUNTIF(NatureList,F9)&gt;0,COUNTIF(LifecycleList,G9)&gt;0,COUNTIF(SignificanceList,L9)&gt;0,COUNTIF(ConsumerList,M9)&gt;0),"PASS","CHECK"))</f>
        <v/>
      </c>
      <c r="P9" t="inlineStr">
        <is>
          <t>No</t>
        </is>
      </c>
      <c r="Q9" t="inlineStr">
        <is>
          <t>CS-2026-01</t>
        </is>
      </c>
      <c r="R9" t="inlineStr">
        <is>
          <t>FORM</t>
        </is>
      </c>
    </row>
    <row r="10">
      <c r="A10" s="10" t="inlineStr">
        <is>
          <t>EVT-2026-000006</t>
        </is>
      </c>
      <c r="B10" s="21" t="inlineStr">
        <is>
          <t>2026-06-14 08:30</t>
        </is>
      </c>
      <c r="C10" s="10" t="inlineStr">
        <is>
          <t>EvidenceGapDetected</t>
        </is>
      </c>
      <c r="D10" s="10" t="inlineStr">
        <is>
          <t>PL-STAY-CASE-2026-00002</t>
        </is>
      </c>
      <c r="E10" s="10" t="inlineStr">
        <is>
          <t>Source &amp; Evidence</t>
        </is>
      </c>
      <c r="F10" s="10" t="inlineStr">
        <is>
          <t>Instance</t>
        </is>
      </c>
      <c r="G10" s="10" t="inlineStr">
        <is>
          <t>DocDump</t>
        </is>
      </c>
      <c r="H10" s="10" t="inlineStr">
        <is>
          <t>Property Lead</t>
        </is>
      </c>
      <c r="I10" s="10" t="inlineStr">
        <is>
          <t>Internal operating policy</t>
        </is>
      </c>
      <c r="J10" s="10" t="inlineStr">
        <is>
          <t>Google Workspace</t>
        </is>
      </c>
      <c r="K10" s="10" t="inlineStr">
        <is>
          <t>v1.0</t>
        </is>
      </c>
      <c r="L10" s="10" t="inlineStr">
        <is>
          <t>Critical</t>
        </is>
      </c>
      <c r="M10" s="10" t="inlineStr">
        <is>
          <t>Email Alerts</t>
        </is>
      </c>
      <c r="N10" s="10" t="inlineStr">
        <is>
          <t>{"missing":"turnover photos","due_by":"2026-06-16"}</t>
        </is>
      </c>
      <c r="O10" s="10">
        <f>IF(A10="","",IF(AND(COUNTIF(EventTypeList,C10)&gt;0,COUNTIF('Artifact Registry'!$A$5:$A$200,D10)&gt;0,COUNTIF(FamilyList,E10)&gt;0,COUNTIF(NatureList,F10)&gt;0,COUNTIF(LifecycleList,G10)&gt;0,COUNTIF(SignificanceList,L10)&gt;0,COUNTIF(ConsumerList,M10)&gt;0),"PASS","CHECK"))</f>
        <v/>
      </c>
      <c r="P10" t="inlineStr">
        <is>
          <t>No</t>
        </is>
      </c>
      <c r="Q10" t="inlineStr">
        <is>
          <t>CS-2026-01</t>
        </is>
      </c>
      <c r="R10" t="inlineStr">
        <is>
          <t>EVIDENCE</t>
        </is>
      </c>
    </row>
    <row r="11">
      <c r="A11" s="10" t="inlineStr">
        <is>
          <t>EVT-2026-000007</t>
        </is>
      </c>
      <c r="B11" s="21" t="inlineStr">
        <is>
          <t>2026-06-13 16:00</t>
        </is>
      </c>
      <c r="C11" s="10" t="inlineStr">
        <is>
          <t>ArtifactApproved</t>
        </is>
      </c>
      <c r="D11" s="10" t="inlineStr">
        <is>
          <t>PL-STAY-CASE-2026-00003</t>
        </is>
      </c>
      <c r="E11" s="10" t="inlineStr">
        <is>
          <t>Recommendation &amp; Decision</t>
        </is>
      </c>
      <c r="F11" s="10" t="inlineStr">
        <is>
          <t>Instance</t>
        </is>
      </c>
      <c r="G11" s="10" t="inlineStr">
        <is>
          <t>CaseSpace</t>
        </is>
      </c>
      <c r="H11" s="10" t="inlineStr">
        <is>
          <t>Property Lead</t>
        </is>
      </c>
      <c r="I11" s="10" t="inlineStr">
        <is>
          <t>Internal operating policy</t>
        </is>
      </c>
      <c r="J11" s="10" t="inlineStr">
        <is>
          <t>Excel Workbook</t>
        </is>
      </c>
      <c r="K11" s="10" t="inlineStr">
        <is>
          <t>v1.0</t>
        </is>
      </c>
      <c r="L11" s="10" t="inlineStr">
        <is>
          <t>Action</t>
        </is>
      </c>
      <c r="M11" s="10" t="inlineStr">
        <is>
          <t>Audit Log</t>
        </is>
      </c>
      <c r="N11" s="10" t="inlineStr">
        <is>
          <t>{"basis":"scope guard"}</t>
        </is>
      </c>
      <c r="O11" s="10">
        <f>IF(A11="","",IF(AND(COUNTIF(EventTypeList,C11)&gt;0,COUNTIF('Artifact Registry'!$A$5:$A$200,D11)&gt;0,COUNTIF(FamilyList,E11)&gt;0,COUNTIF(NatureList,F11)&gt;0,COUNTIF(LifecycleList,G11)&gt;0,COUNTIF(SignificanceList,L11)&gt;0,COUNTIF(ConsumerList,M11)&gt;0),"PASS","CHECK"))</f>
        <v/>
      </c>
      <c r="P11" t="inlineStr">
        <is>
          <t>No</t>
        </is>
      </c>
      <c r="Q11" t="inlineStr">
        <is>
          <t>CS-2026-01</t>
        </is>
      </c>
      <c r="R11" t="inlineStr">
        <is>
          <t>DECISION</t>
        </is>
      </c>
    </row>
    <row r="12">
      <c r="A12" s="10" t="inlineStr">
        <is>
          <t>EVT-2026-000008</t>
        </is>
      </c>
      <c r="B12" s="21" t="inlineStr">
        <is>
          <t>2026-06-28 14:30</t>
        </is>
      </c>
      <c r="C12" s="10" t="inlineStr">
        <is>
          <t>SignalReceived</t>
        </is>
      </c>
      <c r="D12" s="10" t="inlineStr">
        <is>
          <t>PL-STAY-CASE-2026-00002</t>
        </is>
      </c>
      <c r="E12" s="10" t="inlineStr">
        <is>
          <t>Source &amp; Evidence</t>
        </is>
      </c>
      <c r="F12" s="10" t="inlineStr">
        <is>
          <t>Instance</t>
        </is>
      </c>
      <c r="G12" s="10" t="inlineStr">
        <is>
          <t>DocDump</t>
        </is>
      </c>
      <c r="H12" s="10" t="inlineStr">
        <is>
          <t>Property Lead</t>
        </is>
      </c>
      <c r="I12" s="10" t="inlineStr">
        <is>
          <t>Internal operating policy</t>
        </is>
      </c>
      <c r="J12" s="10" t="inlineStr">
        <is>
          <t>Google Workspace</t>
        </is>
      </c>
      <c r="K12" s="10" t="inlineStr">
        <is>
          <t>v1.0</t>
        </is>
      </c>
      <c r="L12" s="10" t="inlineStr">
        <is>
          <t>Info</t>
        </is>
      </c>
      <c r="M12" s="10" t="inlineStr">
        <is>
          <t>Audit Log</t>
        </is>
      </c>
      <c r="N12" s="10" t="inlineStr">
        <is>
          <t>{"connector":"mcp:google-drive","source_ref":"drive:file/9z"}</t>
        </is>
      </c>
      <c r="O12" s="10">
        <f>IF(A12="","",IF(AND(COUNTIF(EventTypeList,C12)&gt;0,COUNTIF('Artifact Registry'!$A$5:$A$200,D12)&gt;0,COUNTIF(FamilyList,E12)&gt;0,COUNTIF(NatureList,F12)&gt;0,COUNTIF(LifecycleList,G12)&gt;0,COUNTIF(SignificanceList,L12)&gt;0,COUNTIF(ConsumerList,M12)&gt;0),"PASS","CHECK"))</f>
        <v/>
      </c>
      <c r="P12" t="inlineStr">
        <is>
          <t>No</t>
        </is>
      </c>
      <c r="Q12" t="inlineStr">
        <is>
          <t>CS-2026-01</t>
        </is>
      </c>
      <c r="R12" t="inlineStr">
        <is>
          <t>EVIDENCE</t>
        </is>
      </c>
    </row>
    <row r="13">
      <c r="A13" s="10" t="inlineStr">
        <is>
          <t>EVT-2026-000009</t>
        </is>
      </c>
      <c r="B13" s="21" t="inlineStr">
        <is>
          <t>2026-06-28 14:31</t>
        </is>
      </c>
      <c r="C13" s="10" t="inlineStr">
        <is>
          <t>SignalHeldForReview</t>
        </is>
      </c>
      <c r="D13" s="10" t="inlineStr">
        <is>
          <t>PL-STAY-SIG-2026-00001</t>
        </is>
      </c>
      <c r="E13" s="10" t="inlineStr">
        <is>
          <t>Source &amp; Evidence</t>
        </is>
      </c>
      <c r="F13" s="10" t="inlineStr">
        <is>
          <t>Instance</t>
        </is>
      </c>
      <c r="G13" s="10" t="inlineStr">
        <is>
          <t>FORM</t>
        </is>
      </c>
      <c r="H13" s="10" t="inlineStr">
        <is>
          <t>Property Lead</t>
        </is>
      </c>
      <c r="I13" s="10" t="inlineStr">
        <is>
          <t>Internal operating policy</t>
        </is>
      </c>
      <c r="J13" s="10" t="inlineStr">
        <is>
          <t>Google Workspace</t>
        </is>
      </c>
      <c r="K13" s="10" t="inlineStr">
        <is>
          <t>v1.0</t>
        </is>
      </c>
      <c r="L13" s="10" t="inlineStr">
        <is>
          <t>Watch</t>
        </is>
      </c>
      <c r="M13" s="10" t="inlineStr">
        <is>
          <t>Dashboard</t>
        </is>
      </c>
      <c r="N13" s="10" t="inlineStr">
        <is>
          <t>{"confidence":0.42,"missing":["reservation_id","guest_email_match","stay_date_match"]}</t>
        </is>
      </c>
      <c r="O13" s="10">
        <f>IF(A13="","",IF(AND(COUNTIF(EventTypeList,C13)&gt;0,COUNTIF('Artifact Registry'!$A$5:$A$200,D13)&gt;0,COUNTIF(FamilyList,E13)&gt;0,COUNTIF(NatureList,F13)&gt;0,COUNTIF(LifecycleList,G13)&gt;0,COUNTIF(SignificanceList,L13)&gt;0,COUNTIF(ConsumerList,M13)&gt;0),"PASS","CHECK"))</f>
        <v/>
      </c>
      <c r="P13" t="inlineStr">
        <is>
          <t>No</t>
        </is>
      </c>
      <c r="R13" t="inlineStr">
        <is>
          <t>NOTE</t>
        </is>
      </c>
    </row>
    <row r="14">
      <c r="A14" s="10" t="n"/>
      <c r="B14" s="21" t="n"/>
      <c r="C14" s="10" t="n"/>
      <c r="D14" s="10" t="n"/>
      <c r="E14" s="10" t="n"/>
      <c r="F14" s="10" t="n"/>
      <c r="G14" s="10" t="n"/>
      <c r="H14" s="10" t="n"/>
      <c r="I14" s="10" t="n"/>
      <c r="J14" s="10" t="n"/>
      <c r="K14" s="10" t="n"/>
      <c r="L14" s="10" t="n"/>
      <c r="M14" s="10" t="n"/>
      <c r="N14" s="10" t="n"/>
      <c r="O14" s="10">
        <f>IF(A14="","",IF(AND(COUNTIF(EventTypeList,C14)&gt;0,COUNTIF('Artifact Registry'!$A$5:$A$200,D14)&gt;0,COUNTIF(FamilyList,E14)&gt;0,COUNTIF(NatureList,F14)&gt;0,COUNTIF(LifecycleList,G14)&gt;0,COUNTIF(SignificanceList,L14)&gt;0,COUNTIF(ConsumerList,M14)&gt;0),"PASS","CHECK"))</f>
        <v/>
      </c>
    </row>
    <row r="15">
      <c r="A15" s="10" t="n"/>
      <c r="B15" s="21" t="n"/>
      <c r="C15" s="10" t="n"/>
      <c r="D15" s="10" t="n"/>
      <c r="E15" s="10" t="n"/>
      <c r="F15" s="10" t="n"/>
      <c r="G15" s="10" t="n"/>
      <c r="H15" s="10" t="n"/>
      <c r="I15" s="10" t="n"/>
      <c r="J15" s="10" t="n"/>
      <c r="K15" s="10" t="n"/>
      <c r="L15" s="10" t="n"/>
      <c r="M15" s="10" t="n"/>
      <c r="N15" s="10" t="n"/>
      <c r="O15" s="10">
        <f>IF(A15="","",IF(AND(COUNTIF(EventTypeList,C15)&gt;0,COUNTIF('Artifact Registry'!$A$5:$A$200,D15)&gt;0,COUNTIF(FamilyList,E15)&gt;0,COUNTIF(NatureList,F15)&gt;0,COUNTIF(LifecycleList,G15)&gt;0,COUNTIF(SignificanceList,L15)&gt;0,COUNTIF(ConsumerList,M15)&gt;0),"PASS","CHECK"))</f>
        <v/>
      </c>
    </row>
    <row r="16">
      <c r="A16" s="10" t="n"/>
      <c r="B16" s="21" t="n"/>
      <c r="C16" s="10" t="n"/>
      <c r="D16" s="10" t="n"/>
      <c r="E16" s="10" t="n"/>
      <c r="F16" s="10" t="n"/>
      <c r="G16" s="10" t="n"/>
      <c r="H16" s="10" t="n"/>
      <c r="I16" s="10" t="n"/>
      <c r="J16" s="10" t="n"/>
      <c r="K16" s="10" t="n"/>
      <c r="L16" s="10" t="n"/>
      <c r="M16" s="10" t="n"/>
      <c r="N16" s="10" t="n"/>
      <c r="O16" s="10">
        <f>IF(A16="","",IF(AND(COUNTIF(EventTypeList,C16)&gt;0,COUNTIF('Artifact Registry'!$A$5:$A$200,D16)&gt;0,COUNTIF(FamilyList,E16)&gt;0,COUNTIF(NatureList,F16)&gt;0,COUNTIF(LifecycleList,G16)&gt;0,COUNTIF(SignificanceList,L16)&gt;0,COUNTIF(ConsumerList,M16)&gt;0),"PASS","CHECK"))</f>
        <v/>
      </c>
    </row>
    <row r="17">
      <c r="A17" s="10" t="n"/>
      <c r="B17" s="21" t="n"/>
      <c r="C17" s="10" t="n"/>
      <c r="D17" s="10" t="n"/>
      <c r="E17" s="10" t="n"/>
      <c r="F17" s="10" t="n"/>
      <c r="G17" s="10" t="n"/>
      <c r="H17" s="10" t="n"/>
      <c r="I17" s="10" t="n"/>
      <c r="J17" s="10" t="n"/>
      <c r="K17" s="10" t="n"/>
      <c r="L17" s="10" t="n"/>
      <c r="M17" s="10" t="n"/>
      <c r="N17" s="10" t="n"/>
      <c r="O17" s="10">
        <f>IF(A17="","",IF(AND(COUNTIF(EventTypeList,C17)&gt;0,COUNTIF('Artifact Registry'!$A$5:$A$200,D17)&gt;0,COUNTIF(FamilyList,E17)&gt;0,COUNTIF(NatureList,F17)&gt;0,COUNTIF(LifecycleList,G17)&gt;0,COUNTIF(SignificanceList,L17)&gt;0,COUNTIF(ConsumerList,M17)&gt;0),"PASS","CHECK"))</f>
        <v/>
      </c>
    </row>
    <row r="18">
      <c r="A18" s="10" t="n"/>
      <c r="B18" s="21" t="n"/>
      <c r="C18" s="10" t="n"/>
      <c r="D18" s="10" t="n"/>
      <c r="E18" s="10" t="n"/>
      <c r="F18" s="10" t="n"/>
      <c r="G18" s="10" t="n"/>
      <c r="H18" s="10" t="n"/>
      <c r="I18" s="10" t="n"/>
      <c r="J18" s="10" t="n"/>
      <c r="K18" s="10" t="n"/>
      <c r="L18" s="10" t="n"/>
      <c r="M18" s="10" t="n"/>
      <c r="N18" s="10" t="n"/>
      <c r="O18" s="10">
        <f>IF(A18="","",IF(AND(COUNTIF(EventTypeList,C18)&gt;0,COUNTIF('Artifact Registry'!$A$5:$A$200,D18)&gt;0,COUNTIF(FamilyList,E18)&gt;0,COUNTIF(NatureList,F18)&gt;0,COUNTIF(LifecycleList,G18)&gt;0,COUNTIF(SignificanceList,L18)&gt;0,COUNTIF(ConsumerList,M18)&gt;0),"PASS","CHECK"))</f>
        <v/>
      </c>
    </row>
    <row r="19">
      <c r="A19" s="10" t="n"/>
      <c r="B19" s="21" t="n"/>
      <c r="C19" s="10" t="n"/>
      <c r="D19" s="10" t="n"/>
      <c r="E19" s="10" t="n"/>
      <c r="F19" s="10" t="n"/>
      <c r="G19" s="10" t="n"/>
      <c r="H19" s="10" t="n"/>
      <c r="I19" s="10" t="n"/>
      <c r="J19" s="10" t="n"/>
      <c r="K19" s="10" t="n"/>
      <c r="L19" s="10" t="n"/>
      <c r="M19" s="10" t="n"/>
      <c r="N19" s="10" t="n"/>
      <c r="O19" s="10">
        <f>IF(A19="","",IF(AND(COUNTIF(EventTypeList,C19)&gt;0,COUNTIF('Artifact Registry'!$A$5:$A$200,D19)&gt;0,COUNTIF(FamilyList,E19)&gt;0,COUNTIF(NatureList,F19)&gt;0,COUNTIF(LifecycleList,G19)&gt;0,COUNTIF(SignificanceList,L19)&gt;0,COUNTIF(ConsumerList,M19)&gt;0),"PASS","CHECK"))</f>
        <v/>
      </c>
    </row>
    <row r="20">
      <c r="A20" s="10" t="n"/>
      <c r="B20" s="21" t="n"/>
      <c r="C20" s="10" t="n"/>
      <c r="D20" s="10" t="n"/>
      <c r="E20" s="10" t="n"/>
      <c r="F20" s="10" t="n"/>
      <c r="G20" s="10" t="n"/>
      <c r="H20" s="10" t="n"/>
      <c r="I20" s="10" t="n"/>
      <c r="J20" s="10" t="n"/>
      <c r="K20" s="10" t="n"/>
      <c r="L20" s="10" t="n"/>
      <c r="M20" s="10" t="n"/>
      <c r="N20" s="10" t="n"/>
      <c r="O20" s="10">
        <f>IF(A20="","",IF(AND(COUNTIF(EventTypeList,C20)&gt;0,COUNTIF('Artifact Registry'!$A$5:$A$200,D20)&gt;0,COUNTIF(FamilyList,E20)&gt;0,COUNTIF(NatureList,F20)&gt;0,COUNTIF(LifecycleList,G20)&gt;0,COUNTIF(SignificanceList,L20)&gt;0,COUNTIF(ConsumerList,M20)&gt;0),"PASS","CHECK"))</f>
        <v/>
      </c>
    </row>
    <row r="21">
      <c r="A21" s="10" t="n"/>
      <c r="B21" s="21" t="n"/>
      <c r="C21" s="10" t="n"/>
      <c r="D21" s="10" t="n"/>
      <c r="E21" s="10" t="n"/>
      <c r="F21" s="10" t="n"/>
      <c r="G21" s="10" t="n"/>
      <c r="H21" s="10" t="n"/>
      <c r="I21" s="10" t="n"/>
      <c r="J21" s="10" t="n"/>
      <c r="K21" s="10" t="n"/>
      <c r="L21" s="10" t="n"/>
      <c r="M21" s="10" t="n"/>
      <c r="N21" s="10" t="n"/>
      <c r="O21" s="10">
        <f>IF(A21="","",IF(AND(COUNTIF(EventTypeList,C21)&gt;0,COUNTIF('Artifact Registry'!$A$5:$A$200,D21)&gt;0,COUNTIF(FamilyList,E21)&gt;0,COUNTIF(NatureList,F21)&gt;0,COUNTIF(LifecycleList,G21)&gt;0,COUNTIF(SignificanceList,L21)&gt;0,COUNTIF(ConsumerList,M21)&gt;0),"PASS","CHECK"))</f>
        <v/>
      </c>
    </row>
    <row r="22">
      <c r="A22" s="10" t="n"/>
      <c r="B22" s="21" t="n"/>
      <c r="C22" s="10" t="n"/>
      <c r="D22" s="10" t="n"/>
      <c r="E22" s="10" t="n"/>
      <c r="F22" s="10" t="n"/>
      <c r="G22" s="10" t="n"/>
      <c r="H22" s="10" t="n"/>
      <c r="I22" s="10" t="n"/>
      <c r="J22" s="10" t="n"/>
      <c r="K22" s="10" t="n"/>
      <c r="L22" s="10" t="n"/>
      <c r="M22" s="10" t="n"/>
      <c r="N22" s="10" t="n"/>
      <c r="O22" s="10">
        <f>IF(A22="","",IF(AND(COUNTIF(EventTypeList,C22)&gt;0,COUNTIF('Artifact Registry'!$A$5:$A$200,D22)&gt;0,COUNTIF(FamilyList,E22)&gt;0,COUNTIF(NatureList,F22)&gt;0,COUNTIF(LifecycleList,G22)&gt;0,COUNTIF(SignificanceList,L22)&gt;0,COUNTIF(ConsumerList,M22)&gt;0),"PASS","CHECK"))</f>
        <v/>
      </c>
    </row>
    <row r="23">
      <c r="A23" s="10" t="n"/>
      <c r="B23" s="21" t="n"/>
      <c r="C23" s="10" t="n"/>
      <c r="D23" s="10" t="n"/>
      <c r="E23" s="10" t="n"/>
      <c r="F23" s="10" t="n"/>
      <c r="G23" s="10" t="n"/>
      <c r="H23" s="10" t="n"/>
      <c r="I23" s="10" t="n"/>
      <c r="J23" s="10" t="n"/>
      <c r="K23" s="10" t="n"/>
      <c r="L23" s="10" t="n"/>
      <c r="M23" s="10" t="n"/>
      <c r="N23" s="10" t="n"/>
      <c r="O23" s="10">
        <f>IF(A23="","",IF(AND(COUNTIF(EventTypeList,C23)&gt;0,COUNTIF('Artifact Registry'!$A$5:$A$200,D23)&gt;0,COUNTIF(FamilyList,E23)&gt;0,COUNTIF(NatureList,F23)&gt;0,COUNTIF(LifecycleList,G23)&gt;0,COUNTIF(SignificanceList,L23)&gt;0,COUNTIF(ConsumerList,M23)&gt;0),"PASS","CHECK"))</f>
        <v/>
      </c>
    </row>
    <row r="24">
      <c r="A24" s="10" t="n"/>
      <c r="B24" s="21" t="n"/>
      <c r="C24" s="10" t="n"/>
      <c r="D24" s="10" t="n"/>
      <c r="E24" s="10" t="n"/>
      <c r="F24" s="10" t="n"/>
      <c r="G24" s="10" t="n"/>
      <c r="H24" s="10" t="n"/>
      <c r="I24" s="10" t="n"/>
      <c r="J24" s="10" t="n"/>
      <c r="K24" s="10" t="n"/>
      <c r="L24" s="10" t="n"/>
      <c r="M24" s="10" t="n"/>
      <c r="N24" s="10" t="n"/>
      <c r="O24" s="10">
        <f>IF(A24="","",IF(AND(COUNTIF(EventTypeList,C24)&gt;0,COUNTIF('Artifact Registry'!$A$5:$A$200,D24)&gt;0,COUNTIF(FamilyList,E24)&gt;0,COUNTIF(NatureList,F24)&gt;0,COUNTIF(LifecycleList,G24)&gt;0,COUNTIF(SignificanceList,L24)&gt;0,COUNTIF(ConsumerList,M24)&gt;0),"PASS","CHECK"))</f>
        <v/>
      </c>
    </row>
    <row r="25">
      <c r="A25" s="10" t="n"/>
      <c r="B25" s="21" t="n"/>
      <c r="C25" s="10" t="n"/>
      <c r="D25" s="10" t="n"/>
      <c r="E25" s="10" t="n"/>
      <c r="F25" s="10" t="n"/>
      <c r="G25" s="10" t="n"/>
      <c r="H25" s="10" t="n"/>
      <c r="I25" s="10" t="n"/>
      <c r="J25" s="10" t="n"/>
      <c r="K25" s="10" t="n"/>
      <c r="L25" s="10" t="n"/>
      <c r="M25" s="10" t="n"/>
      <c r="N25" s="10" t="n"/>
      <c r="O25" s="10">
        <f>IF(A25="","",IF(AND(COUNTIF(EventTypeList,C25)&gt;0,COUNTIF('Artifact Registry'!$A$5:$A$200,D25)&gt;0,COUNTIF(FamilyList,E25)&gt;0,COUNTIF(NatureList,F25)&gt;0,COUNTIF(LifecycleList,G25)&gt;0,COUNTIF(SignificanceList,L25)&gt;0,COUNTIF(ConsumerList,M25)&gt;0),"PASS","CHECK"))</f>
        <v/>
      </c>
    </row>
    <row r="26">
      <c r="A26" s="10" t="n"/>
      <c r="B26" s="21" t="n"/>
      <c r="C26" s="10" t="n"/>
      <c r="D26" s="10" t="n"/>
      <c r="E26" s="10" t="n"/>
      <c r="F26" s="10" t="n"/>
      <c r="G26" s="10" t="n"/>
      <c r="H26" s="10" t="n"/>
      <c r="I26" s="10" t="n"/>
      <c r="J26" s="10" t="n"/>
      <c r="K26" s="10" t="n"/>
      <c r="L26" s="10" t="n"/>
      <c r="M26" s="10" t="n"/>
      <c r="N26" s="10" t="n"/>
      <c r="O26" s="10">
        <f>IF(A26="","",IF(AND(COUNTIF(EventTypeList,C26)&gt;0,COUNTIF('Artifact Registry'!$A$5:$A$200,D26)&gt;0,COUNTIF(FamilyList,E26)&gt;0,COUNTIF(NatureList,F26)&gt;0,COUNTIF(LifecycleList,G26)&gt;0,COUNTIF(SignificanceList,L26)&gt;0,COUNTIF(ConsumerList,M26)&gt;0),"PASS","CHECK"))</f>
        <v/>
      </c>
    </row>
    <row r="27">
      <c r="A27" s="10" t="n"/>
      <c r="B27" s="21" t="n"/>
      <c r="C27" s="10" t="n"/>
      <c r="D27" s="10" t="n"/>
      <c r="E27" s="10" t="n"/>
      <c r="F27" s="10" t="n"/>
      <c r="G27" s="10" t="n"/>
      <c r="H27" s="10" t="n"/>
      <c r="I27" s="10" t="n"/>
      <c r="J27" s="10" t="n"/>
      <c r="K27" s="10" t="n"/>
      <c r="L27" s="10" t="n"/>
      <c r="M27" s="10" t="n"/>
      <c r="N27" s="10" t="n"/>
      <c r="O27" s="10">
        <f>IF(A27="","",IF(AND(COUNTIF(EventTypeList,C27)&gt;0,COUNTIF('Artifact Registry'!$A$5:$A$200,D27)&gt;0,COUNTIF(FamilyList,E27)&gt;0,COUNTIF(NatureList,F27)&gt;0,COUNTIF(LifecycleList,G27)&gt;0,COUNTIF(SignificanceList,L27)&gt;0,COUNTIF(ConsumerList,M27)&gt;0),"PASS","CHECK"))</f>
        <v/>
      </c>
    </row>
    <row r="28">
      <c r="A28" s="10" t="n"/>
      <c r="B28" s="21" t="n"/>
      <c r="C28" s="10" t="n"/>
      <c r="D28" s="10" t="n"/>
      <c r="E28" s="10" t="n"/>
      <c r="F28" s="10" t="n"/>
      <c r="G28" s="10" t="n"/>
      <c r="H28" s="10" t="n"/>
      <c r="I28" s="10" t="n"/>
      <c r="J28" s="10" t="n"/>
      <c r="K28" s="10" t="n"/>
      <c r="L28" s="10" t="n"/>
      <c r="M28" s="10" t="n"/>
      <c r="N28" s="10" t="n"/>
      <c r="O28" s="10">
        <f>IF(A28="","",IF(AND(COUNTIF(EventTypeList,C28)&gt;0,COUNTIF('Artifact Registry'!$A$5:$A$200,D28)&gt;0,COUNTIF(FamilyList,E28)&gt;0,COUNTIF(NatureList,F28)&gt;0,COUNTIF(LifecycleList,G28)&gt;0,COUNTIF(SignificanceList,L28)&gt;0,COUNTIF(ConsumerList,M28)&gt;0),"PASS","CHECK"))</f>
        <v/>
      </c>
    </row>
    <row r="29">
      <c r="A29" s="10" t="n"/>
      <c r="B29" s="21" t="n"/>
      <c r="C29" s="10" t="n"/>
      <c r="D29" s="10" t="n"/>
      <c r="E29" s="10" t="n"/>
      <c r="F29" s="10" t="n"/>
      <c r="G29" s="10" t="n"/>
      <c r="H29" s="10" t="n"/>
      <c r="I29" s="10" t="n"/>
      <c r="J29" s="10" t="n"/>
      <c r="K29" s="10" t="n"/>
      <c r="L29" s="10" t="n"/>
      <c r="M29" s="10" t="n"/>
      <c r="N29" s="10" t="n"/>
      <c r="O29" s="10">
        <f>IF(A29="","",IF(AND(COUNTIF(EventTypeList,C29)&gt;0,COUNTIF('Artifact Registry'!$A$5:$A$200,D29)&gt;0,COUNTIF(FamilyList,E29)&gt;0,COUNTIF(NatureList,F29)&gt;0,COUNTIF(LifecycleList,G29)&gt;0,COUNTIF(SignificanceList,L29)&gt;0,COUNTIF(ConsumerList,M29)&gt;0),"PASS","CHECK"))</f>
        <v/>
      </c>
    </row>
    <row r="30">
      <c r="A30" s="10" t="n"/>
      <c r="B30" s="21" t="n"/>
      <c r="C30" s="10" t="n"/>
      <c r="D30" s="10" t="n"/>
      <c r="E30" s="10" t="n"/>
      <c r="F30" s="10" t="n"/>
      <c r="G30" s="10" t="n"/>
      <c r="H30" s="10" t="n"/>
      <c r="I30" s="10" t="n"/>
      <c r="J30" s="10" t="n"/>
      <c r="K30" s="10" t="n"/>
      <c r="L30" s="10" t="n"/>
      <c r="M30" s="10" t="n"/>
      <c r="N30" s="10" t="n"/>
      <c r="O30" s="10">
        <f>IF(A30="","",IF(AND(COUNTIF(EventTypeList,C30)&gt;0,COUNTIF('Artifact Registry'!$A$5:$A$200,D30)&gt;0,COUNTIF(FamilyList,E30)&gt;0,COUNTIF(NatureList,F30)&gt;0,COUNTIF(LifecycleList,G30)&gt;0,COUNTIF(SignificanceList,L30)&gt;0,COUNTIF(ConsumerList,M30)&gt;0),"PASS","CHECK"))</f>
        <v/>
      </c>
    </row>
    <row r="31">
      <c r="A31" s="10" t="n"/>
      <c r="B31" s="21" t="n"/>
      <c r="C31" s="10" t="n"/>
      <c r="D31" s="10" t="n"/>
      <c r="E31" s="10" t="n"/>
      <c r="F31" s="10" t="n"/>
      <c r="G31" s="10" t="n"/>
      <c r="H31" s="10" t="n"/>
      <c r="I31" s="10" t="n"/>
      <c r="J31" s="10" t="n"/>
      <c r="K31" s="10" t="n"/>
      <c r="L31" s="10" t="n"/>
      <c r="M31" s="10" t="n"/>
      <c r="N31" s="10" t="n"/>
      <c r="O31" s="10">
        <f>IF(A31="","",IF(AND(COUNTIF(EventTypeList,C31)&gt;0,COUNTIF('Artifact Registry'!$A$5:$A$200,D31)&gt;0,COUNTIF(FamilyList,E31)&gt;0,COUNTIF(NatureList,F31)&gt;0,COUNTIF(LifecycleList,G31)&gt;0,COUNTIF(SignificanceList,L31)&gt;0,COUNTIF(ConsumerList,M31)&gt;0),"PASS","CHECK"))</f>
        <v/>
      </c>
    </row>
    <row r="32">
      <c r="A32" s="10" t="n"/>
      <c r="B32" s="21" t="n"/>
      <c r="C32" s="10" t="n"/>
      <c r="D32" s="10" t="n"/>
      <c r="E32" s="10" t="n"/>
      <c r="F32" s="10" t="n"/>
      <c r="G32" s="10" t="n"/>
      <c r="H32" s="10" t="n"/>
      <c r="I32" s="10" t="n"/>
      <c r="J32" s="10" t="n"/>
      <c r="K32" s="10" t="n"/>
      <c r="L32" s="10" t="n"/>
      <c r="M32" s="10" t="n"/>
      <c r="N32" s="10" t="n"/>
      <c r="O32" s="10">
        <f>IF(A32="","",IF(AND(COUNTIF(EventTypeList,C32)&gt;0,COUNTIF('Artifact Registry'!$A$5:$A$200,D32)&gt;0,COUNTIF(FamilyList,E32)&gt;0,COUNTIF(NatureList,F32)&gt;0,COUNTIF(LifecycleList,G32)&gt;0,COUNTIF(SignificanceList,L32)&gt;0,COUNTIF(ConsumerList,M32)&gt;0),"PASS","CHECK"))</f>
        <v/>
      </c>
    </row>
    <row r="33">
      <c r="A33" s="10" t="n"/>
      <c r="B33" s="21" t="n"/>
      <c r="C33" s="10" t="n"/>
      <c r="D33" s="10" t="n"/>
      <c r="E33" s="10" t="n"/>
      <c r="F33" s="10" t="n"/>
      <c r="G33" s="10" t="n"/>
      <c r="H33" s="10" t="n"/>
      <c r="I33" s="10" t="n"/>
      <c r="J33" s="10" t="n"/>
      <c r="K33" s="10" t="n"/>
      <c r="L33" s="10" t="n"/>
      <c r="M33" s="10" t="n"/>
      <c r="N33" s="10" t="n"/>
      <c r="O33" s="10">
        <f>IF(A33="","",IF(AND(COUNTIF(EventTypeList,C33)&gt;0,COUNTIF('Artifact Registry'!$A$5:$A$200,D33)&gt;0,COUNTIF(FamilyList,E33)&gt;0,COUNTIF(NatureList,F33)&gt;0,COUNTIF(LifecycleList,G33)&gt;0,COUNTIF(SignificanceList,L33)&gt;0,COUNTIF(ConsumerList,M33)&gt;0),"PASS","CHECK"))</f>
        <v/>
      </c>
    </row>
    <row r="34">
      <c r="A34" s="10" t="n"/>
      <c r="B34" s="21" t="n"/>
      <c r="C34" s="10" t="n"/>
      <c r="D34" s="10" t="n"/>
      <c r="E34" s="10" t="n"/>
      <c r="F34" s="10" t="n"/>
      <c r="G34" s="10" t="n"/>
      <c r="H34" s="10" t="n"/>
      <c r="I34" s="10" t="n"/>
      <c r="J34" s="10" t="n"/>
      <c r="K34" s="10" t="n"/>
      <c r="L34" s="10" t="n"/>
      <c r="M34" s="10" t="n"/>
      <c r="N34" s="10" t="n"/>
      <c r="O34" s="10">
        <f>IF(A34="","",IF(AND(COUNTIF(EventTypeList,C34)&gt;0,COUNTIF('Artifact Registry'!$A$5:$A$200,D34)&gt;0,COUNTIF(FamilyList,E34)&gt;0,COUNTIF(NatureList,F34)&gt;0,COUNTIF(LifecycleList,G34)&gt;0,COUNTIF(SignificanceList,L34)&gt;0,COUNTIF(ConsumerList,M34)&gt;0),"PASS","CHECK"))</f>
        <v/>
      </c>
    </row>
    <row r="35">
      <c r="A35" s="10" t="n"/>
      <c r="B35" s="21" t="n"/>
      <c r="C35" s="10" t="n"/>
      <c r="D35" s="10" t="n"/>
      <c r="E35" s="10" t="n"/>
      <c r="F35" s="10" t="n"/>
      <c r="G35" s="10" t="n"/>
      <c r="H35" s="10" t="n"/>
      <c r="I35" s="10" t="n"/>
      <c r="J35" s="10" t="n"/>
      <c r="K35" s="10" t="n"/>
      <c r="L35" s="10" t="n"/>
      <c r="M35" s="10" t="n"/>
      <c r="N35" s="10" t="n"/>
      <c r="O35" s="10">
        <f>IF(A35="","",IF(AND(COUNTIF(EventTypeList,C35)&gt;0,COUNTIF('Artifact Registry'!$A$5:$A$200,D35)&gt;0,COUNTIF(FamilyList,E35)&gt;0,COUNTIF(NatureList,F35)&gt;0,COUNTIF(LifecycleList,G35)&gt;0,COUNTIF(SignificanceList,L35)&gt;0,COUNTIF(ConsumerList,M35)&gt;0),"PASS","CHECK"))</f>
        <v/>
      </c>
    </row>
    <row r="36">
      <c r="A36" s="10" t="n"/>
      <c r="B36" s="21" t="n"/>
      <c r="C36" s="10" t="n"/>
      <c r="D36" s="10" t="n"/>
      <c r="E36" s="10" t="n"/>
      <c r="F36" s="10" t="n"/>
      <c r="G36" s="10" t="n"/>
      <c r="H36" s="10" t="n"/>
      <c r="I36" s="10" t="n"/>
      <c r="J36" s="10" t="n"/>
      <c r="K36" s="10" t="n"/>
      <c r="L36" s="10" t="n"/>
      <c r="M36" s="10" t="n"/>
      <c r="N36" s="10" t="n"/>
      <c r="O36" s="10">
        <f>IF(A36="","",IF(AND(COUNTIF(EventTypeList,C36)&gt;0,COUNTIF('Artifact Registry'!$A$5:$A$200,D36)&gt;0,COUNTIF(FamilyList,E36)&gt;0,COUNTIF(NatureList,F36)&gt;0,COUNTIF(LifecycleList,G36)&gt;0,COUNTIF(SignificanceList,L36)&gt;0,COUNTIF(ConsumerList,M36)&gt;0),"PASS","CHECK"))</f>
        <v/>
      </c>
    </row>
    <row r="37">
      <c r="A37" s="10" t="n"/>
      <c r="B37" s="21" t="n"/>
      <c r="C37" s="10" t="n"/>
      <c r="D37" s="10" t="n"/>
      <c r="E37" s="10" t="n"/>
      <c r="F37" s="10" t="n"/>
      <c r="G37" s="10" t="n"/>
      <c r="H37" s="10" t="n"/>
      <c r="I37" s="10" t="n"/>
      <c r="J37" s="10" t="n"/>
      <c r="K37" s="10" t="n"/>
      <c r="L37" s="10" t="n"/>
      <c r="M37" s="10" t="n"/>
      <c r="N37" s="10" t="n"/>
      <c r="O37" s="10">
        <f>IF(A37="","",IF(AND(COUNTIF(EventTypeList,C37)&gt;0,COUNTIF('Artifact Registry'!$A$5:$A$200,D37)&gt;0,COUNTIF(FamilyList,E37)&gt;0,COUNTIF(NatureList,F37)&gt;0,COUNTIF(LifecycleList,G37)&gt;0,COUNTIF(SignificanceList,L37)&gt;0,COUNTIF(ConsumerList,M37)&gt;0),"PASS","CHECK"))</f>
        <v/>
      </c>
    </row>
    <row r="38">
      <c r="A38" s="10" t="n"/>
      <c r="B38" s="21" t="n"/>
      <c r="C38" s="10" t="n"/>
      <c r="D38" s="10" t="n"/>
      <c r="E38" s="10" t="n"/>
      <c r="F38" s="10" t="n"/>
      <c r="G38" s="10" t="n"/>
      <c r="H38" s="10" t="n"/>
      <c r="I38" s="10" t="n"/>
      <c r="J38" s="10" t="n"/>
      <c r="K38" s="10" t="n"/>
      <c r="L38" s="10" t="n"/>
      <c r="M38" s="10" t="n"/>
      <c r="N38" s="10" t="n"/>
      <c r="O38" s="10">
        <f>IF(A38="","",IF(AND(COUNTIF(EventTypeList,C38)&gt;0,COUNTIF('Artifact Registry'!$A$5:$A$200,D38)&gt;0,COUNTIF(FamilyList,E38)&gt;0,COUNTIF(NatureList,F38)&gt;0,COUNTIF(LifecycleList,G38)&gt;0,COUNTIF(SignificanceList,L38)&gt;0,COUNTIF(ConsumerList,M38)&gt;0),"PASS","CHECK"))</f>
        <v/>
      </c>
    </row>
    <row r="39">
      <c r="A39" s="10" t="n"/>
      <c r="B39" s="21" t="n"/>
      <c r="C39" s="10" t="n"/>
      <c r="D39" s="10" t="n"/>
      <c r="E39" s="10" t="n"/>
      <c r="F39" s="10" t="n"/>
      <c r="G39" s="10" t="n"/>
      <c r="H39" s="10" t="n"/>
      <c r="I39" s="10" t="n"/>
      <c r="J39" s="10" t="n"/>
      <c r="K39" s="10" t="n"/>
      <c r="L39" s="10" t="n"/>
      <c r="M39" s="10" t="n"/>
      <c r="N39" s="10" t="n"/>
      <c r="O39" s="10">
        <f>IF(A39="","",IF(AND(COUNTIF(EventTypeList,C39)&gt;0,COUNTIF('Artifact Registry'!$A$5:$A$200,D39)&gt;0,COUNTIF(FamilyList,E39)&gt;0,COUNTIF(NatureList,F39)&gt;0,COUNTIF(LifecycleList,G39)&gt;0,COUNTIF(SignificanceList,L39)&gt;0,COUNTIF(ConsumerList,M39)&gt;0),"PASS","CHECK"))</f>
        <v/>
      </c>
    </row>
    <row r="40">
      <c r="A40" s="10" t="n"/>
      <c r="B40" s="21" t="n"/>
      <c r="C40" s="10" t="n"/>
      <c r="D40" s="10" t="n"/>
      <c r="E40" s="10" t="n"/>
      <c r="F40" s="10" t="n"/>
      <c r="G40" s="10" t="n"/>
      <c r="H40" s="10" t="n"/>
      <c r="I40" s="10" t="n"/>
      <c r="J40" s="10" t="n"/>
      <c r="K40" s="10" t="n"/>
      <c r="L40" s="10" t="n"/>
      <c r="M40" s="10" t="n"/>
      <c r="N40" s="10" t="n"/>
      <c r="O40" s="10">
        <f>IF(A40="","",IF(AND(COUNTIF(EventTypeList,C40)&gt;0,COUNTIF('Artifact Registry'!$A$5:$A$200,D40)&gt;0,COUNTIF(FamilyList,E40)&gt;0,COUNTIF(NatureList,F40)&gt;0,COUNTIF(LifecycleList,G40)&gt;0,COUNTIF(SignificanceList,L40)&gt;0,COUNTIF(ConsumerList,M40)&gt;0),"PASS","CHECK"))</f>
        <v/>
      </c>
    </row>
    <row r="41">
      <c r="A41" s="10" t="n"/>
      <c r="B41" s="21" t="n"/>
      <c r="C41" s="10" t="n"/>
      <c r="D41" s="10" t="n"/>
      <c r="E41" s="10" t="n"/>
      <c r="F41" s="10" t="n"/>
      <c r="G41" s="10" t="n"/>
      <c r="H41" s="10" t="n"/>
      <c r="I41" s="10" t="n"/>
      <c r="J41" s="10" t="n"/>
      <c r="K41" s="10" t="n"/>
      <c r="L41" s="10" t="n"/>
      <c r="M41" s="10" t="n"/>
      <c r="N41" s="10" t="n"/>
      <c r="O41" s="10">
        <f>IF(A41="","",IF(AND(COUNTIF(EventTypeList,C41)&gt;0,COUNTIF('Artifact Registry'!$A$5:$A$200,D41)&gt;0,COUNTIF(FamilyList,E41)&gt;0,COUNTIF(NatureList,F41)&gt;0,COUNTIF(LifecycleList,G41)&gt;0,COUNTIF(SignificanceList,L41)&gt;0,COUNTIF(ConsumerList,M41)&gt;0),"PASS","CHECK"))</f>
        <v/>
      </c>
    </row>
    <row r="42">
      <c r="A42" s="10" t="n"/>
      <c r="B42" s="21" t="n"/>
      <c r="C42" s="10" t="n"/>
      <c r="D42" s="10" t="n"/>
      <c r="E42" s="10" t="n"/>
      <c r="F42" s="10" t="n"/>
      <c r="G42" s="10" t="n"/>
      <c r="H42" s="10" t="n"/>
      <c r="I42" s="10" t="n"/>
      <c r="J42" s="10" t="n"/>
      <c r="K42" s="10" t="n"/>
      <c r="L42" s="10" t="n"/>
      <c r="M42" s="10" t="n"/>
      <c r="N42" s="10" t="n"/>
      <c r="O42" s="10">
        <f>IF(A42="","",IF(AND(COUNTIF(EventTypeList,C42)&gt;0,COUNTIF('Artifact Registry'!$A$5:$A$200,D42)&gt;0,COUNTIF(FamilyList,E42)&gt;0,COUNTIF(NatureList,F42)&gt;0,COUNTIF(LifecycleList,G42)&gt;0,COUNTIF(SignificanceList,L42)&gt;0,COUNTIF(ConsumerList,M42)&gt;0),"PASS","CHECK"))</f>
        <v/>
      </c>
    </row>
    <row r="43">
      <c r="A43" s="10" t="n"/>
      <c r="B43" s="21" t="n"/>
      <c r="C43" s="10" t="n"/>
      <c r="D43" s="10" t="n"/>
      <c r="E43" s="10" t="n"/>
      <c r="F43" s="10" t="n"/>
      <c r="G43" s="10" t="n"/>
      <c r="H43" s="10" t="n"/>
      <c r="I43" s="10" t="n"/>
      <c r="J43" s="10" t="n"/>
      <c r="K43" s="10" t="n"/>
      <c r="L43" s="10" t="n"/>
      <c r="M43" s="10" t="n"/>
      <c r="N43" s="10" t="n"/>
      <c r="O43" s="10">
        <f>IF(A43="","",IF(AND(COUNTIF(EventTypeList,C43)&gt;0,COUNTIF('Artifact Registry'!$A$5:$A$200,D43)&gt;0,COUNTIF(FamilyList,E43)&gt;0,COUNTIF(NatureList,F43)&gt;0,COUNTIF(LifecycleList,G43)&gt;0,COUNTIF(SignificanceList,L43)&gt;0,COUNTIF(ConsumerList,M43)&gt;0),"PASS","CHECK"))</f>
        <v/>
      </c>
    </row>
    <row r="44">
      <c r="A44" s="10" t="n"/>
      <c r="B44" s="21" t="n"/>
      <c r="C44" s="10" t="n"/>
      <c r="D44" s="10" t="n"/>
      <c r="E44" s="10" t="n"/>
      <c r="F44" s="10" t="n"/>
      <c r="G44" s="10" t="n"/>
      <c r="H44" s="10" t="n"/>
      <c r="I44" s="10" t="n"/>
      <c r="J44" s="10" t="n"/>
      <c r="K44" s="10" t="n"/>
      <c r="L44" s="10" t="n"/>
      <c r="M44" s="10" t="n"/>
      <c r="N44" s="10" t="n"/>
      <c r="O44" s="10">
        <f>IF(A44="","",IF(AND(COUNTIF(EventTypeList,C44)&gt;0,COUNTIF('Artifact Registry'!$A$5:$A$200,D44)&gt;0,COUNTIF(FamilyList,E44)&gt;0,COUNTIF(NatureList,F44)&gt;0,COUNTIF(LifecycleList,G44)&gt;0,COUNTIF(SignificanceList,L44)&gt;0,COUNTIF(ConsumerList,M44)&gt;0),"PASS","CHECK"))</f>
        <v/>
      </c>
    </row>
    <row r="45">
      <c r="A45" s="10" t="n"/>
      <c r="B45" s="21" t="n"/>
      <c r="C45" s="10" t="n"/>
      <c r="D45" s="10" t="n"/>
      <c r="E45" s="10" t="n"/>
      <c r="F45" s="10" t="n"/>
      <c r="G45" s="10" t="n"/>
      <c r="H45" s="10" t="n"/>
      <c r="I45" s="10" t="n"/>
      <c r="J45" s="10" t="n"/>
      <c r="K45" s="10" t="n"/>
      <c r="L45" s="10" t="n"/>
      <c r="M45" s="10" t="n"/>
      <c r="N45" s="10" t="n"/>
      <c r="O45" s="10">
        <f>IF(A45="","",IF(AND(COUNTIF(EventTypeList,C45)&gt;0,COUNTIF('Artifact Registry'!$A$5:$A$200,D45)&gt;0,COUNTIF(FamilyList,E45)&gt;0,COUNTIF(NatureList,F45)&gt;0,COUNTIF(LifecycleList,G45)&gt;0,COUNTIF(SignificanceList,L45)&gt;0,COUNTIF(ConsumerList,M45)&gt;0),"PASS","CHECK"))</f>
        <v/>
      </c>
    </row>
    <row r="46">
      <c r="A46" s="10" t="n"/>
      <c r="B46" s="21" t="n"/>
      <c r="C46" s="10" t="n"/>
      <c r="D46" s="10" t="n"/>
      <c r="E46" s="10" t="n"/>
      <c r="F46" s="10" t="n"/>
      <c r="G46" s="10" t="n"/>
      <c r="H46" s="10" t="n"/>
      <c r="I46" s="10" t="n"/>
      <c r="J46" s="10" t="n"/>
      <c r="K46" s="10" t="n"/>
      <c r="L46" s="10" t="n"/>
      <c r="M46" s="10" t="n"/>
      <c r="N46" s="10" t="n"/>
      <c r="O46" s="10">
        <f>IF(A46="","",IF(AND(COUNTIF(EventTypeList,C46)&gt;0,COUNTIF('Artifact Registry'!$A$5:$A$200,D46)&gt;0,COUNTIF(FamilyList,E46)&gt;0,COUNTIF(NatureList,F46)&gt;0,COUNTIF(LifecycleList,G46)&gt;0,COUNTIF(SignificanceList,L46)&gt;0,COUNTIF(ConsumerList,M46)&gt;0),"PASS","CHECK"))</f>
        <v/>
      </c>
    </row>
    <row r="47">
      <c r="A47" s="10" t="n"/>
      <c r="B47" s="21" t="n"/>
      <c r="C47" s="10" t="n"/>
      <c r="D47" s="10" t="n"/>
      <c r="E47" s="10" t="n"/>
      <c r="F47" s="10" t="n"/>
      <c r="G47" s="10" t="n"/>
      <c r="H47" s="10" t="n"/>
      <c r="I47" s="10" t="n"/>
      <c r="J47" s="10" t="n"/>
      <c r="K47" s="10" t="n"/>
      <c r="L47" s="10" t="n"/>
      <c r="M47" s="10" t="n"/>
      <c r="N47" s="10" t="n"/>
      <c r="O47" s="10">
        <f>IF(A47="","",IF(AND(COUNTIF(EventTypeList,C47)&gt;0,COUNTIF('Artifact Registry'!$A$5:$A$200,D47)&gt;0,COUNTIF(FamilyList,E47)&gt;0,COUNTIF(NatureList,F47)&gt;0,COUNTIF(LifecycleList,G47)&gt;0,COUNTIF(SignificanceList,L47)&gt;0,COUNTIF(ConsumerList,M47)&gt;0),"PASS","CHECK"))</f>
        <v/>
      </c>
    </row>
    <row r="48">
      <c r="A48" s="10" t="n"/>
      <c r="B48" s="21" t="n"/>
      <c r="C48" s="10" t="n"/>
      <c r="D48" s="10" t="n"/>
      <c r="E48" s="10" t="n"/>
      <c r="F48" s="10" t="n"/>
      <c r="G48" s="10" t="n"/>
      <c r="H48" s="10" t="n"/>
      <c r="I48" s="10" t="n"/>
      <c r="J48" s="10" t="n"/>
      <c r="K48" s="10" t="n"/>
      <c r="L48" s="10" t="n"/>
      <c r="M48" s="10" t="n"/>
      <c r="N48" s="10" t="n"/>
      <c r="O48" s="10">
        <f>IF(A48="","",IF(AND(COUNTIF(EventTypeList,C48)&gt;0,COUNTIF('Artifact Registry'!$A$5:$A$200,D48)&gt;0,COUNTIF(FamilyList,E48)&gt;0,COUNTIF(NatureList,F48)&gt;0,COUNTIF(LifecycleList,G48)&gt;0,COUNTIF(SignificanceList,L48)&gt;0,COUNTIF(ConsumerList,M48)&gt;0),"PASS","CHECK"))</f>
        <v/>
      </c>
    </row>
    <row r="49">
      <c r="A49" s="10" t="n"/>
      <c r="B49" s="21" t="n"/>
      <c r="C49" s="10" t="n"/>
      <c r="D49" s="10" t="n"/>
      <c r="E49" s="10" t="n"/>
      <c r="F49" s="10" t="n"/>
      <c r="G49" s="10" t="n"/>
      <c r="H49" s="10" t="n"/>
      <c r="I49" s="10" t="n"/>
      <c r="J49" s="10" t="n"/>
      <c r="K49" s="10" t="n"/>
      <c r="L49" s="10" t="n"/>
      <c r="M49" s="10" t="n"/>
      <c r="N49" s="10" t="n"/>
      <c r="O49" s="10">
        <f>IF(A49="","",IF(AND(COUNTIF(EventTypeList,C49)&gt;0,COUNTIF('Artifact Registry'!$A$5:$A$200,D49)&gt;0,COUNTIF(FamilyList,E49)&gt;0,COUNTIF(NatureList,F49)&gt;0,COUNTIF(LifecycleList,G49)&gt;0,COUNTIF(SignificanceList,L49)&gt;0,COUNTIF(ConsumerList,M49)&gt;0),"PASS","CHECK"))</f>
        <v/>
      </c>
    </row>
    <row r="50">
      <c r="A50" s="10" t="n"/>
      <c r="B50" s="21" t="n"/>
      <c r="C50" s="10" t="n"/>
      <c r="D50" s="10" t="n"/>
      <c r="E50" s="10" t="n"/>
      <c r="F50" s="10" t="n"/>
      <c r="G50" s="10" t="n"/>
      <c r="H50" s="10" t="n"/>
      <c r="I50" s="10" t="n"/>
      <c r="J50" s="10" t="n"/>
      <c r="K50" s="10" t="n"/>
      <c r="L50" s="10" t="n"/>
      <c r="M50" s="10" t="n"/>
      <c r="N50" s="10" t="n"/>
      <c r="O50" s="10">
        <f>IF(A50="","",IF(AND(COUNTIF(EventTypeList,C50)&gt;0,COUNTIF('Artifact Registry'!$A$5:$A$200,D50)&gt;0,COUNTIF(FamilyList,E50)&gt;0,COUNTIF(NatureList,F50)&gt;0,COUNTIF(LifecycleList,G50)&gt;0,COUNTIF(SignificanceList,L50)&gt;0,COUNTIF(ConsumerList,M50)&gt;0),"PASS","CHECK"))</f>
        <v/>
      </c>
    </row>
    <row r="51">
      <c r="A51" s="10" t="n"/>
      <c r="B51" s="21" t="n"/>
      <c r="C51" s="10" t="n"/>
      <c r="D51" s="10" t="n"/>
      <c r="E51" s="10" t="n"/>
      <c r="F51" s="10" t="n"/>
      <c r="G51" s="10" t="n"/>
      <c r="H51" s="10" t="n"/>
      <c r="I51" s="10" t="n"/>
      <c r="J51" s="10" t="n"/>
      <c r="K51" s="10" t="n"/>
      <c r="L51" s="10" t="n"/>
      <c r="M51" s="10" t="n"/>
      <c r="N51" s="10" t="n"/>
      <c r="O51" s="10">
        <f>IF(A51="","",IF(AND(COUNTIF(EventTypeList,C51)&gt;0,COUNTIF('Artifact Registry'!$A$5:$A$200,D51)&gt;0,COUNTIF(FamilyList,E51)&gt;0,COUNTIF(NatureList,F51)&gt;0,COUNTIF(LifecycleList,G51)&gt;0,COUNTIF(SignificanceList,L51)&gt;0,COUNTIF(ConsumerList,M51)&gt;0),"PASS","CHECK"))</f>
        <v/>
      </c>
    </row>
    <row r="52">
      <c r="A52" s="10" t="n"/>
      <c r="B52" s="21" t="n"/>
      <c r="C52" s="10" t="n"/>
      <c r="D52" s="10" t="n"/>
      <c r="E52" s="10" t="n"/>
      <c r="F52" s="10" t="n"/>
      <c r="G52" s="10" t="n"/>
      <c r="H52" s="10" t="n"/>
      <c r="I52" s="10" t="n"/>
      <c r="J52" s="10" t="n"/>
      <c r="K52" s="10" t="n"/>
      <c r="L52" s="10" t="n"/>
      <c r="M52" s="10" t="n"/>
      <c r="N52" s="10" t="n"/>
      <c r="O52" s="10">
        <f>IF(A52="","",IF(AND(COUNTIF(EventTypeList,C52)&gt;0,COUNTIF('Artifact Registry'!$A$5:$A$200,D52)&gt;0,COUNTIF(FamilyList,E52)&gt;0,COUNTIF(NatureList,F52)&gt;0,COUNTIF(LifecycleList,G52)&gt;0,COUNTIF(SignificanceList,L52)&gt;0,COUNTIF(ConsumerList,M52)&gt;0),"PASS","CHECK"))</f>
        <v/>
      </c>
    </row>
    <row r="53">
      <c r="A53" s="10" t="n"/>
      <c r="B53" s="21" t="n"/>
      <c r="C53" s="10" t="n"/>
      <c r="D53" s="10" t="n"/>
      <c r="E53" s="10" t="n"/>
      <c r="F53" s="10" t="n"/>
      <c r="G53" s="10" t="n"/>
      <c r="H53" s="10" t="n"/>
      <c r="I53" s="10" t="n"/>
      <c r="J53" s="10" t="n"/>
      <c r="K53" s="10" t="n"/>
      <c r="L53" s="10" t="n"/>
      <c r="M53" s="10" t="n"/>
      <c r="N53" s="10" t="n"/>
      <c r="O53" s="10">
        <f>IF(A53="","",IF(AND(COUNTIF(EventTypeList,C53)&gt;0,COUNTIF('Artifact Registry'!$A$5:$A$200,D53)&gt;0,COUNTIF(FamilyList,E53)&gt;0,COUNTIF(NatureList,F53)&gt;0,COUNTIF(LifecycleList,G53)&gt;0,COUNTIF(SignificanceList,L53)&gt;0,COUNTIF(ConsumerList,M53)&gt;0),"PASS","CHECK"))</f>
        <v/>
      </c>
    </row>
    <row r="54">
      <c r="A54" s="10" t="n"/>
      <c r="B54" s="21" t="n"/>
      <c r="C54" s="10" t="n"/>
      <c r="D54" s="10" t="n"/>
      <c r="E54" s="10" t="n"/>
      <c r="F54" s="10" t="n"/>
      <c r="G54" s="10" t="n"/>
      <c r="H54" s="10" t="n"/>
      <c r="I54" s="10" t="n"/>
      <c r="J54" s="10" t="n"/>
      <c r="K54" s="10" t="n"/>
      <c r="L54" s="10" t="n"/>
      <c r="M54" s="10" t="n"/>
      <c r="N54" s="10" t="n"/>
      <c r="O54" s="10">
        <f>IF(A54="","",IF(AND(COUNTIF(EventTypeList,C54)&gt;0,COUNTIF('Artifact Registry'!$A$5:$A$200,D54)&gt;0,COUNTIF(FamilyList,E54)&gt;0,COUNTIF(NatureList,F54)&gt;0,COUNTIF(LifecycleList,G54)&gt;0,COUNTIF(SignificanceList,L54)&gt;0,COUNTIF(ConsumerList,M54)&gt;0),"PASS","CHECK"))</f>
        <v/>
      </c>
    </row>
    <row r="55">
      <c r="A55" s="10" t="n"/>
      <c r="B55" s="21" t="n"/>
      <c r="C55" s="10" t="n"/>
      <c r="D55" s="10" t="n"/>
      <c r="E55" s="10" t="n"/>
      <c r="F55" s="10" t="n"/>
      <c r="G55" s="10" t="n"/>
      <c r="H55" s="10" t="n"/>
      <c r="I55" s="10" t="n"/>
      <c r="J55" s="10" t="n"/>
      <c r="K55" s="10" t="n"/>
      <c r="L55" s="10" t="n"/>
      <c r="M55" s="10" t="n"/>
      <c r="N55" s="10" t="n"/>
      <c r="O55" s="10">
        <f>IF(A55="","",IF(AND(COUNTIF(EventTypeList,C55)&gt;0,COUNTIF('Artifact Registry'!$A$5:$A$200,D55)&gt;0,COUNTIF(FamilyList,E55)&gt;0,COUNTIF(NatureList,F55)&gt;0,COUNTIF(LifecycleList,G55)&gt;0,COUNTIF(SignificanceList,L55)&gt;0,COUNTIF(ConsumerList,M55)&gt;0),"PASS","CHECK"))</f>
        <v/>
      </c>
    </row>
    <row r="56">
      <c r="A56" s="10" t="n"/>
      <c r="B56" s="21" t="n"/>
      <c r="C56" s="10" t="n"/>
      <c r="D56" s="10" t="n"/>
      <c r="E56" s="10" t="n"/>
      <c r="F56" s="10" t="n"/>
      <c r="G56" s="10" t="n"/>
      <c r="H56" s="10" t="n"/>
      <c r="I56" s="10" t="n"/>
      <c r="J56" s="10" t="n"/>
      <c r="K56" s="10" t="n"/>
      <c r="L56" s="10" t="n"/>
      <c r="M56" s="10" t="n"/>
      <c r="N56" s="10" t="n"/>
      <c r="O56" s="10">
        <f>IF(A56="","",IF(AND(COUNTIF(EventTypeList,C56)&gt;0,COUNTIF('Artifact Registry'!$A$5:$A$200,D56)&gt;0,COUNTIF(FamilyList,E56)&gt;0,COUNTIF(NatureList,F56)&gt;0,COUNTIF(LifecycleList,G56)&gt;0,COUNTIF(SignificanceList,L56)&gt;0,COUNTIF(ConsumerList,M56)&gt;0),"PASS","CHECK"))</f>
        <v/>
      </c>
    </row>
    <row r="57">
      <c r="A57" s="10" t="n"/>
      <c r="B57" s="21" t="n"/>
      <c r="C57" s="10" t="n"/>
      <c r="D57" s="10" t="n"/>
      <c r="E57" s="10" t="n"/>
      <c r="F57" s="10" t="n"/>
      <c r="G57" s="10" t="n"/>
      <c r="H57" s="10" t="n"/>
      <c r="I57" s="10" t="n"/>
      <c r="J57" s="10" t="n"/>
      <c r="K57" s="10" t="n"/>
      <c r="L57" s="10" t="n"/>
      <c r="M57" s="10" t="n"/>
      <c r="N57" s="10" t="n"/>
      <c r="O57" s="10">
        <f>IF(A57="","",IF(AND(COUNTIF(EventTypeList,C57)&gt;0,COUNTIF('Artifact Registry'!$A$5:$A$200,D57)&gt;0,COUNTIF(FamilyList,E57)&gt;0,COUNTIF(NatureList,F57)&gt;0,COUNTIF(LifecycleList,G57)&gt;0,COUNTIF(SignificanceList,L57)&gt;0,COUNTIF(ConsumerList,M57)&gt;0),"PASS","CHECK"))</f>
        <v/>
      </c>
    </row>
    <row r="58">
      <c r="A58" s="10" t="n"/>
      <c r="B58" s="21" t="n"/>
      <c r="C58" s="10" t="n"/>
      <c r="D58" s="10" t="n"/>
      <c r="E58" s="10" t="n"/>
      <c r="F58" s="10" t="n"/>
      <c r="G58" s="10" t="n"/>
      <c r="H58" s="10" t="n"/>
      <c r="I58" s="10" t="n"/>
      <c r="J58" s="10" t="n"/>
      <c r="K58" s="10" t="n"/>
      <c r="L58" s="10" t="n"/>
      <c r="M58" s="10" t="n"/>
      <c r="N58" s="10" t="n"/>
      <c r="O58" s="10">
        <f>IF(A58="","",IF(AND(COUNTIF(EventTypeList,C58)&gt;0,COUNTIF('Artifact Registry'!$A$5:$A$200,D58)&gt;0,COUNTIF(FamilyList,E58)&gt;0,COUNTIF(NatureList,F58)&gt;0,COUNTIF(LifecycleList,G58)&gt;0,COUNTIF(SignificanceList,L58)&gt;0,COUNTIF(ConsumerList,M58)&gt;0),"PASS","CHECK"))</f>
        <v/>
      </c>
    </row>
    <row r="59">
      <c r="A59" s="10" t="n"/>
      <c r="B59" s="21" t="n"/>
      <c r="C59" s="10" t="n"/>
      <c r="D59" s="10" t="n"/>
      <c r="E59" s="10" t="n"/>
      <c r="F59" s="10" t="n"/>
      <c r="G59" s="10" t="n"/>
      <c r="H59" s="10" t="n"/>
      <c r="I59" s="10" t="n"/>
      <c r="J59" s="10" t="n"/>
      <c r="K59" s="10" t="n"/>
      <c r="L59" s="10" t="n"/>
      <c r="M59" s="10" t="n"/>
      <c r="N59" s="10" t="n"/>
      <c r="O59" s="10">
        <f>IF(A59="","",IF(AND(COUNTIF(EventTypeList,C59)&gt;0,COUNTIF('Artifact Registry'!$A$5:$A$200,D59)&gt;0,COUNTIF(FamilyList,E59)&gt;0,COUNTIF(NatureList,F59)&gt;0,COUNTIF(LifecycleList,G59)&gt;0,COUNTIF(SignificanceList,L59)&gt;0,COUNTIF(ConsumerList,M59)&gt;0),"PASS","CHECK"))</f>
        <v/>
      </c>
    </row>
    <row r="60">
      <c r="A60" s="10" t="n"/>
      <c r="B60" s="21" t="n"/>
      <c r="C60" s="10" t="n"/>
      <c r="D60" s="10" t="n"/>
      <c r="E60" s="10" t="n"/>
      <c r="F60" s="10" t="n"/>
      <c r="G60" s="10" t="n"/>
      <c r="H60" s="10" t="n"/>
      <c r="I60" s="10" t="n"/>
      <c r="J60" s="10" t="n"/>
      <c r="K60" s="10" t="n"/>
      <c r="L60" s="10" t="n"/>
      <c r="M60" s="10" t="n"/>
      <c r="N60" s="10" t="n"/>
      <c r="O60" s="10">
        <f>IF(A60="","",IF(AND(COUNTIF(EventTypeList,C60)&gt;0,COUNTIF('Artifact Registry'!$A$5:$A$200,D60)&gt;0,COUNTIF(FamilyList,E60)&gt;0,COUNTIF(NatureList,F60)&gt;0,COUNTIF(LifecycleList,G60)&gt;0,COUNTIF(SignificanceList,L60)&gt;0,COUNTIF(ConsumerList,M60)&gt;0),"PASS","CHECK"))</f>
        <v/>
      </c>
    </row>
    <row r="61">
      <c r="A61" s="10" t="n"/>
      <c r="B61" s="21" t="n"/>
      <c r="C61" s="10" t="n"/>
      <c r="D61" s="10" t="n"/>
      <c r="E61" s="10" t="n"/>
      <c r="F61" s="10" t="n"/>
      <c r="G61" s="10" t="n"/>
      <c r="H61" s="10" t="n"/>
      <c r="I61" s="10" t="n"/>
      <c r="J61" s="10" t="n"/>
      <c r="K61" s="10" t="n"/>
      <c r="L61" s="10" t="n"/>
      <c r="M61" s="10" t="n"/>
      <c r="N61" s="10" t="n"/>
      <c r="O61" s="10">
        <f>IF(A61="","",IF(AND(COUNTIF(EventTypeList,C61)&gt;0,COUNTIF('Artifact Registry'!$A$5:$A$200,D61)&gt;0,COUNTIF(FamilyList,E61)&gt;0,COUNTIF(NatureList,F61)&gt;0,COUNTIF(LifecycleList,G61)&gt;0,COUNTIF(SignificanceList,L61)&gt;0,COUNTIF(ConsumerList,M61)&gt;0),"PASS","CHECK"))</f>
        <v/>
      </c>
    </row>
    <row r="62">
      <c r="A62" s="10" t="n"/>
      <c r="B62" s="21" t="n"/>
      <c r="C62" s="10" t="n"/>
      <c r="D62" s="10" t="n"/>
      <c r="E62" s="10" t="n"/>
      <c r="F62" s="10" t="n"/>
      <c r="G62" s="10" t="n"/>
      <c r="H62" s="10" t="n"/>
      <c r="I62" s="10" t="n"/>
      <c r="J62" s="10" t="n"/>
      <c r="K62" s="10" t="n"/>
      <c r="L62" s="10" t="n"/>
      <c r="M62" s="10" t="n"/>
      <c r="N62" s="10" t="n"/>
      <c r="O62" s="10">
        <f>IF(A62="","",IF(AND(COUNTIF(EventTypeList,C62)&gt;0,COUNTIF('Artifact Registry'!$A$5:$A$200,D62)&gt;0,COUNTIF(FamilyList,E62)&gt;0,COUNTIF(NatureList,F62)&gt;0,COUNTIF(LifecycleList,G62)&gt;0,COUNTIF(SignificanceList,L62)&gt;0,COUNTIF(ConsumerList,M62)&gt;0),"PASS","CHECK"))</f>
        <v/>
      </c>
    </row>
    <row r="63">
      <c r="A63" s="10" t="n"/>
      <c r="B63" s="21" t="n"/>
      <c r="C63" s="10" t="n"/>
      <c r="D63" s="10" t="n"/>
      <c r="E63" s="10" t="n"/>
      <c r="F63" s="10" t="n"/>
      <c r="G63" s="10" t="n"/>
      <c r="H63" s="10" t="n"/>
      <c r="I63" s="10" t="n"/>
      <c r="J63" s="10" t="n"/>
      <c r="K63" s="10" t="n"/>
      <c r="L63" s="10" t="n"/>
      <c r="M63" s="10" t="n"/>
      <c r="N63" s="10" t="n"/>
      <c r="O63" s="10">
        <f>IF(A63="","",IF(AND(COUNTIF(EventTypeList,C63)&gt;0,COUNTIF('Artifact Registry'!$A$5:$A$200,D63)&gt;0,COUNTIF(FamilyList,E63)&gt;0,COUNTIF(NatureList,F63)&gt;0,COUNTIF(LifecycleList,G63)&gt;0,COUNTIF(SignificanceList,L63)&gt;0,COUNTIF(ConsumerList,M63)&gt;0),"PASS","CHECK"))</f>
        <v/>
      </c>
    </row>
    <row r="64">
      <c r="A64" s="10" t="n"/>
      <c r="B64" s="21" t="n"/>
      <c r="C64" s="10" t="n"/>
      <c r="D64" s="10" t="n"/>
      <c r="E64" s="10" t="n"/>
      <c r="F64" s="10" t="n"/>
      <c r="G64" s="10" t="n"/>
      <c r="H64" s="10" t="n"/>
      <c r="I64" s="10" t="n"/>
      <c r="J64" s="10" t="n"/>
      <c r="K64" s="10" t="n"/>
      <c r="L64" s="10" t="n"/>
      <c r="M64" s="10" t="n"/>
      <c r="N64" s="10" t="n"/>
      <c r="O64" s="10">
        <f>IF(A64="","",IF(AND(COUNTIF(EventTypeList,C64)&gt;0,COUNTIF('Artifact Registry'!$A$5:$A$200,D64)&gt;0,COUNTIF(FamilyList,E64)&gt;0,COUNTIF(NatureList,F64)&gt;0,COUNTIF(LifecycleList,G64)&gt;0,COUNTIF(SignificanceList,L64)&gt;0,COUNTIF(ConsumerList,M64)&gt;0),"PASS","CHECK"))</f>
        <v/>
      </c>
    </row>
    <row r="65">
      <c r="A65" s="10" t="n"/>
      <c r="B65" s="21" t="n"/>
      <c r="C65" s="10" t="n"/>
      <c r="D65" s="10" t="n"/>
      <c r="E65" s="10" t="n"/>
      <c r="F65" s="10" t="n"/>
      <c r="G65" s="10" t="n"/>
      <c r="H65" s="10" t="n"/>
      <c r="I65" s="10" t="n"/>
      <c r="J65" s="10" t="n"/>
      <c r="K65" s="10" t="n"/>
      <c r="L65" s="10" t="n"/>
      <c r="M65" s="10" t="n"/>
      <c r="N65" s="10" t="n"/>
      <c r="O65" s="10">
        <f>IF(A65="","",IF(AND(COUNTIF(EventTypeList,C65)&gt;0,COUNTIF('Artifact Registry'!$A$5:$A$200,D65)&gt;0,COUNTIF(FamilyList,E65)&gt;0,COUNTIF(NatureList,F65)&gt;0,COUNTIF(LifecycleList,G65)&gt;0,COUNTIF(SignificanceList,L65)&gt;0,COUNTIF(ConsumerList,M65)&gt;0),"PASS","CHECK"))</f>
        <v/>
      </c>
    </row>
    <row r="66">
      <c r="A66" s="10" t="n"/>
      <c r="B66" s="21" t="n"/>
      <c r="C66" s="10" t="n"/>
      <c r="D66" s="10" t="n"/>
      <c r="E66" s="10" t="n"/>
      <c r="F66" s="10" t="n"/>
      <c r="G66" s="10" t="n"/>
      <c r="H66" s="10" t="n"/>
      <c r="I66" s="10" t="n"/>
      <c r="J66" s="10" t="n"/>
      <c r="K66" s="10" t="n"/>
      <c r="L66" s="10" t="n"/>
      <c r="M66" s="10" t="n"/>
      <c r="N66" s="10" t="n"/>
      <c r="O66" s="10">
        <f>IF(A66="","",IF(AND(COUNTIF(EventTypeList,C66)&gt;0,COUNTIF('Artifact Registry'!$A$5:$A$200,D66)&gt;0,COUNTIF(FamilyList,E66)&gt;0,COUNTIF(NatureList,F66)&gt;0,COUNTIF(LifecycleList,G66)&gt;0,COUNTIF(SignificanceList,L66)&gt;0,COUNTIF(ConsumerList,M66)&gt;0),"PASS","CHECK"))</f>
        <v/>
      </c>
    </row>
    <row r="67">
      <c r="A67" s="10" t="n"/>
      <c r="B67" s="21" t="n"/>
      <c r="C67" s="10" t="n"/>
      <c r="D67" s="10" t="n"/>
      <c r="E67" s="10" t="n"/>
      <c r="F67" s="10" t="n"/>
      <c r="G67" s="10" t="n"/>
      <c r="H67" s="10" t="n"/>
      <c r="I67" s="10" t="n"/>
      <c r="J67" s="10" t="n"/>
      <c r="K67" s="10" t="n"/>
      <c r="L67" s="10" t="n"/>
      <c r="M67" s="10" t="n"/>
      <c r="N67" s="10" t="n"/>
      <c r="O67" s="10">
        <f>IF(A67="","",IF(AND(COUNTIF(EventTypeList,C67)&gt;0,COUNTIF('Artifact Registry'!$A$5:$A$200,D67)&gt;0,COUNTIF(FamilyList,E67)&gt;0,COUNTIF(NatureList,F67)&gt;0,COUNTIF(LifecycleList,G67)&gt;0,COUNTIF(SignificanceList,L67)&gt;0,COUNTIF(ConsumerList,M67)&gt;0),"PASS","CHECK"))</f>
        <v/>
      </c>
    </row>
    <row r="68">
      <c r="A68" s="10" t="n"/>
      <c r="B68" s="21" t="n"/>
      <c r="C68" s="10" t="n"/>
      <c r="D68" s="10" t="n"/>
      <c r="E68" s="10" t="n"/>
      <c r="F68" s="10" t="n"/>
      <c r="G68" s="10" t="n"/>
      <c r="H68" s="10" t="n"/>
      <c r="I68" s="10" t="n"/>
      <c r="J68" s="10" t="n"/>
      <c r="K68" s="10" t="n"/>
      <c r="L68" s="10" t="n"/>
      <c r="M68" s="10" t="n"/>
      <c r="N68" s="10" t="n"/>
      <c r="O68" s="10">
        <f>IF(A68="","",IF(AND(COUNTIF(EventTypeList,C68)&gt;0,COUNTIF('Artifact Registry'!$A$5:$A$200,D68)&gt;0,COUNTIF(FamilyList,E68)&gt;0,COUNTIF(NatureList,F68)&gt;0,COUNTIF(LifecycleList,G68)&gt;0,COUNTIF(SignificanceList,L68)&gt;0,COUNTIF(ConsumerList,M68)&gt;0),"PASS","CHECK"))</f>
        <v/>
      </c>
    </row>
    <row r="69">
      <c r="A69" s="10" t="n"/>
      <c r="B69" s="21" t="n"/>
      <c r="C69" s="10" t="n"/>
      <c r="D69" s="10" t="n"/>
      <c r="E69" s="10" t="n"/>
      <c r="F69" s="10" t="n"/>
      <c r="G69" s="10" t="n"/>
      <c r="H69" s="10" t="n"/>
      <c r="I69" s="10" t="n"/>
      <c r="J69" s="10" t="n"/>
      <c r="K69" s="10" t="n"/>
      <c r="L69" s="10" t="n"/>
      <c r="M69" s="10" t="n"/>
      <c r="N69" s="10" t="n"/>
      <c r="O69" s="10">
        <f>IF(A69="","",IF(AND(COUNTIF(EventTypeList,C69)&gt;0,COUNTIF('Artifact Registry'!$A$5:$A$200,D69)&gt;0,COUNTIF(FamilyList,E69)&gt;0,COUNTIF(NatureList,F69)&gt;0,COUNTIF(LifecycleList,G69)&gt;0,COUNTIF(SignificanceList,L69)&gt;0,COUNTIF(ConsumerList,M69)&gt;0),"PASS","CHECK"))</f>
        <v/>
      </c>
    </row>
    <row r="70">
      <c r="A70" s="10" t="n"/>
      <c r="B70" s="21" t="n"/>
      <c r="C70" s="10" t="n"/>
      <c r="D70" s="10" t="n"/>
      <c r="E70" s="10" t="n"/>
      <c r="F70" s="10" t="n"/>
      <c r="G70" s="10" t="n"/>
      <c r="H70" s="10" t="n"/>
      <c r="I70" s="10" t="n"/>
      <c r="J70" s="10" t="n"/>
      <c r="K70" s="10" t="n"/>
      <c r="L70" s="10" t="n"/>
      <c r="M70" s="10" t="n"/>
      <c r="N70" s="10" t="n"/>
      <c r="O70" s="10">
        <f>IF(A70="","",IF(AND(COUNTIF(EventTypeList,C70)&gt;0,COUNTIF('Artifact Registry'!$A$5:$A$200,D70)&gt;0,COUNTIF(FamilyList,E70)&gt;0,COUNTIF(NatureList,F70)&gt;0,COUNTIF(LifecycleList,G70)&gt;0,COUNTIF(SignificanceList,L70)&gt;0,COUNTIF(ConsumerList,M70)&gt;0),"PASS","CHECK"))</f>
        <v/>
      </c>
    </row>
    <row r="71">
      <c r="A71" s="10" t="n"/>
      <c r="B71" s="21" t="n"/>
      <c r="C71" s="10" t="n"/>
      <c r="D71" s="10" t="n"/>
      <c r="E71" s="10" t="n"/>
      <c r="F71" s="10" t="n"/>
      <c r="G71" s="10" t="n"/>
      <c r="H71" s="10" t="n"/>
      <c r="I71" s="10" t="n"/>
      <c r="J71" s="10" t="n"/>
      <c r="K71" s="10" t="n"/>
      <c r="L71" s="10" t="n"/>
      <c r="M71" s="10" t="n"/>
      <c r="N71" s="10" t="n"/>
      <c r="O71" s="10">
        <f>IF(A71="","",IF(AND(COUNTIF(EventTypeList,C71)&gt;0,COUNTIF('Artifact Registry'!$A$5:$A$200,D71)&gt;0,COUNTIF(FamilyList,E71)&gt;0,COUNTIF(NatureList,F71)&gt;0,COUNTIF(LifecycleList,G71)&gt;0,COUNTIF(SignificanceList,L71)&gt;0,COUNTIF(ConsumerList,M71)&gt;0),"PASS","CHECK"))</f>
        <v/>
      </c>
    </row>
    <row r="72">
      <c r="A72" s="10" t="n"/>
      <c r="B72" s="21" t="n"/>
      <c r="C72" s="10" t="n"/>
      <c r="D72" s="10" t="n"/>
      <c r="E72" s="10" t="n"/>
      <c r="F72" s="10" t="n"/>
      <c r="G72" s="10" t="n"/>
      <c r="H72" s="10" t="n"/>
      <c r="I72" s="10" t="n"/>
      <c r="J72" s="10" t="n"/>
      <c r="K72" s="10" t="n"/>
      <c r="L72" s="10" t="n"/>
      <c r="M72" s="10" t="n"/>
      <c r="N72" s="10" t="n"/>
      <c r="O72" s="10">
        <f>IF(A72="","",IF(AND(COUNTIF(EventTypeList,C72)&gt;0,COUNTIF('Artifact Registry'!$A$5:$A$200,D72)&gt;0,COUNTIF(FamilyList,E72)&gt;0,COUNTIF(NatureList,F72)&gt;0,COUNTIF(LifecycleList,G72)&gt;0,COUNTIF(SignificanceList,L72)&gt;0,COUNTIF(ConsumerList,M72)&gt;0),"PASS","CHECK"))</f>
        <v/>
      </c>
    </row>
    <row r="73">
      <c r="A73" s="10" t="n"/>
      <c r="B73" s="21" t="n"/>
      <c r="C73" s="10" t="n"/>
      <c r="D73" s="10" t="n"/>
      <c r="E73" s="10" t="n"/>
      <c r="F73" s="10" t="n"/>
      <c r="G73" s="10" t="n"/>
      <c r="H73" s="10" t="n"/>
      <c r="I73" s="10" t="n"/>
      <c r="J73" s="10" t="n"/>
      <c r="K73" s="10" t="n"/>
      <c r="L73" s="10" t="n"/>
      <c r="M73" s="10" t="n"/>
      <c r="N73" s="10" t="n"/>
      <c r="O73" s="10">
        <f>IF(A73="","",IF(AND(COUNTIF(EventTypeList,C73)&gt;0,COUNTIF('Artifact Registry'!$A$5:$A$200,D73)&gt;0,COUNTIF(FamilyList,E73)&gt;0,COUNTIF(NatureList,F73)&gt;0,COUNTIF(LifecycleList,G73)&gt;0,COUNTIF(SignificanceList,L73)&gt;0,COUNTIF(ConsumerList,M73)&gt;0),"PASS","CHECK"))</f>
        <v/>
      </c>
    </row>
    <row r="74">
      <c r="A74" s="10" t="n"/>
      <c r="B74" s="21" t="n"/>
      <c r="C74" s="10" t="n"/>
      <c r="D74" s="10" t="n"/>
      <c r="E74" s="10" t="n"/>
      <c r="F74" s="10" t="n"/>
      <c r="G74" s="10" t="n"/>
      <c r="H74" s="10" t="n"/>
      <c r="I74" s="10" t="n"/>
      <c r="J74" s="10" t="n"/>
      <c r="K74" s="10" t="n"/>
      <c r="L74" s="10" t="n"/>
      <c r="M74" s="10" t="n"/>
      <c r="N74" s="10" t="n"/>
      <c r="O74" s="10">
        <f>IF(A74="","",IF(AND(COUNTIF(EventTypeList,C74)&gt;0,COUNTIF('Artifact Registry'!$A$5:$A$200,D74)&gt;0,COUNTIF(FamilyList,E74)&gt;0,COUNTIF(NatureList,F74)&gt;0,COUNTIF(LifecycleList,G74)&gt;0,COUNTIF(SignificanceList,L74)&gt;0,COUNTIF(ConsumerList,M74)&gt;0),"PASS","CHECK"))</f>
        <v/>
      </c>
    </row>
    <row r="75">
      <c r="A75" s="10" t="n"/>
      <c r="B75" s="21" t="n"/>
      <c r="C75" s="10" t="n"/>
      <c r="D75" s="10" t="n"/>
      <c r="E75" s="10" t="n"/>
      <c r="F75" s="10" t="n"/>
      <c r="G75" s="10" t="n"/>
      <c r="H75" s="10" t="n"/>
      <c r="I75" s="10" t="n"/>
      <c r="J75" s="10" t="n"/>
      <c r="K75" s="10" t="n"/>
      <c r="L75" s="10" t="n"/>
      <c r="M75" s="10" t="n"/>
      <c r="N75" s="10" t="n"/>
      <c r="O75" s="10">
        <f>IF(A75="","",IF(AND(COUNTIF(EventTypeList,C75)&gt;0,COUNTIF('Artifact Registry'!$A$5:$A$200,D75)&gt;0,COUNTIF(FamilyList,E75)&gt;0,COUNTIF(NatureList,F75)&gt;0,COUNTIF(LifecycleList,G75)&gt;0,COUNTIF(SignificanceList,L75)&gt;0,COUNTIF(ConsumerList,M75)&gt;0),"PASS","CHECK"))</f>
        <v/>
      </c>
    </row>
    <row r="76">
      <c r="A76" s="10" t="n"/>
      <c r="B76" s="21" t="n"/>
      <c r="C76" s="10" t="n"/>
      <c r="D76" s="10" t="n"/>
      <c r="E76" s="10" t="n"/>
      <c r="F76" s="10" t="n"/>
      <c r="G76" s="10" t="n"/>
      <c r="H76" s="10" t="n"/>
      <c r="I76" s="10" t="n"/>
      <c r="J76" s="10" t="n"/>
      <c r="K76" s="10" t="n"/>
      <c r="L76" s="10" t="n"/>
      <c r="M76" s="10" t="n"/>
      <c r="N76" s="10" t="n"/>
      <c r="O76" s="10">
        <f>IF(A76="","",IF(AND(COUNTIF(EventTypeList,C76)&gt;0,COUNTIF('Artifact Registry'!$A$5:$A$200,D76)&gt;0,COUNTIF(FamilyList,E76)&gt;0,COUNTIF(NatureList,F76)&gt;0,COUNTIF(LifecycleList,G76)&gt;0,COUNTIF(SignificanceList,L76)&gt;0,COUNTIF(ConsumerList,M76)&gt;0),"PASS","CHECK"))</f>
        <v/>
      </c>
    </row>
    <row r="77">
      <c r="A77" s="10" t="n"/>
      <c r="B77" s="21" t="n"/>
      <c r="C77" s="10" t="n"/>
      <c r="D77" s="10" t="n"/>
      <c r="E77" s="10" t="n"/>
      <c r="F77" s="10" t="n"/>
      <c r="G77" s="10" t="n"/>
      <c r="H77" s="10" t="n"/>
      <c r="I77" s="10" t="n"/>
      <c r="J77" s="10" t="n"/>
      <c r="K77" s="10" t="n"/>
      <c r="L77" s="10" t="n"/>
      <c r="M77" s="10" t="n"/>
      <c r="N77" s="10" t="n"/>
      <c r="O77" s="10">
        <f>IF(A77="","",IF(AND(COUNTIF(EventTypeList,C77)&gt;0,COUNTIF('Artifact Registry'!$A$5:$A$200,D77)&gt;0,COUNTIF(FamilyList,E77)&gt;0,COUNTIF(NatureList,F77)&gt;0,COUNTIF(LifecycleList,G77)&gt;0,COUNTIF(SignificanceList,L77)&gt;0,COUNTIF(ConsumerList,M77)&gt;0),"PASS","CHECK"))</f>
        <v/>
      </c>
    </row>
    <row r="78">
      <c r="A78" s="10" t="n"/>
      <c r="B78" s="21" t="n"/>
      <c r="C78" s="10" t="n"/>
      <c r="D78" s="10" t="n"/>
      <c r="E78" s="10" t="n"/>
      <c r="F78" s="10" t="n"/>
      <c r="G78" s="10" t="n"/>
      <c r="H78" s="10" t="n"/>
      <c r="I78" s="10" t="n"/>
      <c r="J78" s="10" t="n"/>
      <c r="K78" s="10" t="n"/>
      <c r="L78" s="10" t="n"/>
      <c r="M78" s="10" t="n"/>
      <c r="N78" s="10" t="n"/>
      <c r="O78" s="10">
        <f>IF(A78="","",IF(AND(COUNTIF(EventTypeList,C78)&gt;0,COUNTIF('Artifact Registry'!$A$5:$A$200,D78)&gt;0,COUNTIF(FamilyList,E78)&gt;0,COUNTIF(NatureList,F78)&gt;0,COUNTIF(LifecycleList,G78)&gt;0,COUNTIF(SignificanceList,L78)&gt;0,COUNTIF(ConsumerList,M78)&gt;0),"PASS","CHECK"))</f>
        <v/>
      </c>
    </row>
    <row r="79">
      <c r="A79" s="10" t="n"/>
      <c r="B79" s="21" t="n"/>
      <c r="C79" s="10" t="n"/>
      <c r="D79" s="10" t="n"/>
      <c r="E79" s="10" t="n"/>
      <c r="F79" s="10" t="n"/>
      <c r="G79" s="10" t="n"/>
      <c r="H79" s="10" t="n"/>
      <c r="I79" s="10" t="n"/>
      <c r="J79" s="10" t="n"/>
      <c r="K79" s="10" t="n"/>
      <c r="L79" s="10" t="n"/>
      <c r="M79" s="10" t="n"/>
      <c r="N79" s="10" t="n"/>
      <c r="O79" s="10">
        <f>IF(A79="","",IF(AND(COUNTIF(EventTypeList,C79)&gt;0,COUNTIF('Artifact Registry'!$A$5:$A$200,D79)&gt;0,COUNTIF(FamilyList,E79)&gt;0,COUNTIF(NatureList,F79)&gt;0,COUNTIF(LifecycleList,G79)&gt;0,COUNTIF(SignificanceList,L79)&gt;0,COUNTIF(ConsumerList,M79)&gt;0),"PASS","CHECK"))</f>
        <v/>
      </c>
    </row>
    <row r="80">
      <c r="A80" s="10" t="n"/>
      <c r="B80" s="21" t="n"/>
      <c r="C80" s="10" t="n"/>
      <c r="D80" s="10" t="n"/>
      <c r="E80" s="10" t="n"/>
      <c r="F80" s="10" t="n"/>
      <c r="G80" s="10" t="n"/>
      <c r="H80" s="10" t="n"/>
      <c r="I80" s="10" t="n"/>
      <c r="J80" s="10" t="n"/>
      <c r="K80" s="10" t="n"/>
      <c r="L80" s="10" t="n"/>
      <c r="M80" s="10" t="n"/>
      <c r="N80" s="10" t="n"/>
      <c r="O80" s="10">
        <f>IF(A80="","",IF(AND(COUNTIF(EventTypeList,C80)&gt;0,COUNTIF('Artifact Registry'!$A$5:$A$200,D80)&gt;0,COUNTIF(FamilyList,E80)&gt;0,COUNTIF(NatureList,F80)&gt;0,COUNTIF(LifecycleList,G80)&gt;0,COUNTIF(SignificanceList,L80)&gt;0,COUNTIF(ConsumerList,M80)&gt;0),"PASS","CHECK"))</f>
        <v/>
      </c>
    </row>
    <row r="81">
      <c r="A81" s="10" t="n"/>
      <c r="B81" s="21" t="n"/>
      <c r="C81" s="10" t="n"/>
      <c r="D81" s="10" t="n"/>
      <c r="E81" s="10" t="n"/>
      <c r="F81" s="10" t="n"/>
      <c r="G81" s="10" t="n"/>
      <c r="H81" s="10" t="n"/>
      <c r="I81" s="10" t="n"/>
      <c r="J81" s="10" t="n"/>
      <c r="K81" s="10" t="n"/>
      <c r="L81" s="10" t="n"/>
      <c r="M81" s="10" t="n"/>
      <c r="N81" s="10" t="n"/>
      <c r="O81" s="10">
        <f>IF(A81="","",IF(AND(COUNTIF(EventTypeList,C81)&gt;0,COUNTIF('Artifact Registry'!$A$5:$A$200,D81)&gt;0,COUNTIF(FamilyList,E81)&gt;0,COUNTIF(NatureList,F81)&gt;0,COUNTIF(LifecycleList,G81)&gt;0,COUNTIF(SignificanceList,L81)&gt;0,COUNTIF(ConsumerList,M81)&gt;0),"PASS","CHECK"))</f>
        <v/>
      </c>
    </row>
    <row r="82">
      <c r="A82" s="10" t="n"/>
      <c r="B82" s="21" t="n"/>
      <c r="C82" s="10" t="n"/>
      <c r="D82" s="10" t="n"/>
      <c r="E82" s="10" t="n"/>
      <c r="F82" s="10" t="n"/>
      <c r="G82" s="10" t="n"/>
      <c r="H82" s="10" t="n"/>
      <c r="I82" s="10" t="n"/>
      <c r="J82" s="10" t="n"/>
      <c r="K82" s="10" t="n"/>
      <c r="L82" s="10" t="n"/>
      <c r="M82" s="10" t="n"/>
      <c r="N82" s="10" t="n"/>
      <c r="O82" s="10">
        <f>IF(A82="","",IF(AND(COUNTIF(EventTypeList,C82)&gt;0,COUNTIF('Artifact Registry'!$A$5:$A$200,D82)&gt;0,COUNTIF(FamilyList,E82)&gt;0,COUNTIF(NatureList,F82)&gt;0,COUNTIF(LifecycleList,G82)&gt;0,COUNTIF(SignificanceList,L82)&gt;0,COUNTIF(ConsumerList,M82)&gt;0),"PASS","CHECK"))</f>
        <v/>
      </c>
    </row>
    <row r="83">
      <c r="A83" s="10" t="n"/>
      <c r="B83" s="21" t="n"/>
      <c r="C83" s="10" t="n"/>
      <c r="D83" s="10" t="n"/>
      <c r="E83" s="10" t="n"/>
      <c r="F83" s="10" t="n"/>
      <c r="G83" s="10" t="n"/>
      <c r="H83" s="10" t="n"/>
      <c r="I83" s="10" t="n"/>
      <c r="J83" s="10" t="n"/>
      <c r="K83" s="10" t="n"/>
      <c r="L83" s="10" t="n"/>
      <c r="M83" s="10" t="n"/>
      <c r="N83" s="10" t="n"/>
      <c r="O83" s="10">
        <f>IF(A83="","",IF(AND(COUNTIF(EventTypeList,C83)&gt;0,COUNTIF('Artifact Registry'!$A$5:$A$200,D83)&gt;0,COUNTIF(FamilyList,E83)&gt;0,COUNTIF(NatureList,F83)&gt;0,COUNTIF(LifecycleList,G83)&gt;0,COUNTIF(SignificanceList,L83)&gt;0,COUNTIF(ConsumerList,M83)&gt;0),"PASS","CHECK"))</f>
        <v/>
      </c>
    </row>
    <row r="84">
      <c r="A84" s="10" t="n"/>
      <c r="B84" s="21" t="n"/>
      <c r="C84" s="10" t="n"/>
      <c r="D84" s="10" t="n"/>
      <c r="E84" s="10" t="n"/>
      <c r="F84" s="10" t="n"/>
      <c r="G84" s="10" t="n"/>
      <c r="H84" s="10" t="n"/>
      <c r="I84" s="10" t="n"/>
      <c r="J84" s="10" t="n"/>
      <c r="K84" s="10" t="n"/>
      <c r="L84" s="10" t="n"/>
      <c r="M84" s="10" t="n"/>
      <c r="N84" s="10" t="n"/>
      <c r="O84" s="10">
        <f>IF(A84="","",IF(AND(COUNTIF(EventTypeList,C84)&gt;0,COUNTIF('Artifact Registry'!$A$5:$A$200,D84)&gt;0,COUNTIF(FamilyList,E84)&gt;0,COUNTIF(NatureList,F84)&gt;0,COUNTIF(LifecycleList,G84)&gt;0,COUNTIF(SignificanceList,L84)&gt;0,COUNTIF(ConsumerList,M84)&gt;0),"PASS","CHECK"))</f>
        <v/>
      </c>
    </row>
    <row r="85">
      <c r="A85" s="10" t="n"/>
      <c r="B85" s="21" t="n"/>
      <c r="C85" s="10" t="n"/>
      <c r="D85" s="10" t="n"/>
      <c r="E85" s="10" t="n"/>
      <c r="F85" s="10" t="n"/>
      <c r="G85" s="10" t="n"/>
      <c r="H85" s="10" t="n"/>
      <c r="I85" s="10" t="n"/>
      <c r="J85" s="10" t="n"/>
      <c r="K85" s="10" t="n"/>
      <c r="L85" s="10" t="n"/>
      <c r="M85" s="10" t="n"/>
      <c r="N85" s="10" t="n"/>
      <c r="O85" s="10">
        <f>IF(A85="","",IF(AND(COUNTIF(EventTypeList,C85)&gt;0,COUNTIF('Artifact Registry'!$A$5:$A$200,D85)&gt;0,COUNTIF(FamilyList,E85)&gt;0,COUNTIF(NatureList,F85)&gt;0,COUNTIF(LifecycleList,G85)&gt;0,COUNTIF(SignificanceList,L85)&gt;0,COUNTIF(ConsumerList,M85)&gt;0),"PASS","CHECK"))</f>
        <v/>
      </c>
    </row>
    <row r="86">
      <c r="A86" s="10" t="n"/>
      <c r="B86" s="21" t="n"/>
      <c r="C86" s="10" t="n"/>
      <c r="D86" s="10" t="n"/>
      <c r="E86" s="10" t="n"/>
      <c r="F86" s="10" t="n"/>
      <c r="G86" s="10" t="n"/>
      <c r="H86" s="10" t="n"/>
      <c r="I86" s="10" t="n"/>
      <c r="J86" s="10" t="n"/>
      <c r="K86" s="10" t="n"/>
      <c r="L86" s="10" t="n"/>
      <c r="M86" s="10" t="n"/>
      <c r="N86" s="10" t="n"/>
      <c r="O86" s="10">
        <f>IF(A86="","",IF(AND(COUNTIF(EventTypeList,C86)&gt;0,COUNTIF('Artifact Registry'!$A$5:$A$200,D86)&gt;0,COUNTIF(FamilyList,E86)&gt;0,COUNTIF(NatureList,F86)&gt;0,COUNTIF(LifecycleList,G86)&gt;0,COUNTIF(SignificanceList,L86)&gt;0,COUNTIF(ConsumerList,M86)&gt;0),"PASS","CHECK"))</f>
        <v/>
      </c>
    </row>
    <row r="87">
      <c r="A87" s="10" t="n"/>
      <c r="B87" s="21" t="n"/>
      <c r="C87" s="10" t="n"/>
      <c r="D87" s="10" t="n"/>
      <c r="E87" s="10" t="n"/>
      <c r="F87" s="10" t="n"/>
      <c r="G87" s="10" t="n"/>
      <c r="H87" s="10" t="n"/>
      <c r="I87" s="10" t="n"/>
      <c r="J87" s="10" t="n"/>
      <c r="K87" s="10" t="n"/>
      <c r="L87" s="10" t="n"/>
      <c r="M87" s="10" t="n"/>
      <c r="N87" s="10" t="n"/>
      <c r="O87" s="10">
        <f>IF(A87="","",IF(AND(COUNTIF(EventTypeList,C87)&gt;0,COUNTIF('Artifact Registry'!$A$5:$A$200,D87)&gt;0,COUNTIF(FamilyList,E87)&gt;0,COUNTIF(NatureList,F87)&gt;0,COUNTIF(LifecycleList,G87)&gt;0,COUNTIF(SignificanceList,L87)&gt;0,COUNTIF(ConsumerList,M87)&gt;0),"PASS","CHECK"))</f>
        <v/>
      </c>
    </row>
    <row r="88">
      <c r="A88" s="10" t="n"/>
      <c r="B88" s="21" t="n"/>
      <c r="C88" s="10" t="n"/>
      <c r="D88" s="10" t="n"/>
      <c r="E88" s="10" t="n"/>
      <c r="F88" s="10" t="n"/>
      <c r="G88" s="10" t="n"/>
      <c r="H88" s="10" t="n"/>
      <c r="I88" s="10" t="n"/>
      <c r="J88" s="10" t="n"/>
      <c r="K88" s="10" t="n"/>
      <c r="L88" s="10" t="n"/>
      <c r="M88" s="10" t="n"/>
      <c r="N88" s="10" t="n"/>
      <c r="O88" s="10">
        <f>IF(A88="","",IF(AND(COUNTIF(EventTypeList,C88)&gt;0,COUNTIF('Artifact Registry'!$A$5:$A$200,D88)&gt;0,COUNTIF(FamilyList,E88)&gt;0,COUNTIF(NatureList,F88)&gt;0,COUNTIF(LifecycleList,G88)&gt;0,COUNTIF(SignificanceList,L88)&gt;0,COUNTIF(ConsumerList,M88)&gt;0),"PASS","CHECK"))</f>
        <v/>
      </c>
    </row>
    <row r="89">
      <c r="A89" s="10" t="n"/>
      <c r="B89" s="21" t="n"/>
      <c r="C89" s="10" t="n"/>
      <c r="D89" s="10" t="n"/>
      <c r="E89" s="10" t="n"/>
      <c r="F89" s="10" t="n"/>
      <c r="G89" s="10" t="n"/>
      <c r="H89" s="10" t="n"/>
      <c r="I89" s="10" t="n"/>
      <c r="J89" s="10" t="n"/>
      <c r="K89" s="10" t="n"/>
      <c r="L89" s="10" t="n"/>
      <c r="M89" s="10" t="n"/>
      <c r="N89" s="10" t="n"/>
      <c r="O89" s="10">
        <f>IF(A89="","",IF(AND(COUNTIF(EventTypeList,C89)&gt;0,COUNTIF('Artifact Registry'!$A$5:$A$200,D89)&gt;0,COUNTIF(FamilyList,E89)&gt;0,COUNTIF(NatureList,F89)&gt;0,COUNTIF(LifecycleList,G89)&gt;0,COUNTIF(SignificanceList,L89)&gt;0,COUNTIF(ConsumerList,M89)&gt;0),"PASS","CHECK"))</f>
        <v/>
      </c>
    </row>
    <row r="90">
      <c r="A90" s="10" t="n"/>
      <c r="B90" s="21" t="n"/>
      <c r="C90" s="10" t="n"/>
      <c r="D90" s="10" t="n"/>
      <c r="E90" s="10" t="n"/>
      <c r="F90" s="10" t="n"/>
      <c r="G90" s="10" t="n"/>
      <c r="H90" s="10" t="n"/>
      <c r="I90" s="10" t="n"/>
      <c r="J90" s="10" t="n"/>
      <c r="K90" s="10" t="n"/>
      <c r="L90" s="10" t="n"/>
      <c r="M90" s="10" t="n"/>
      <c r="N90" s="10" t="n"/>
      <c r="O90" s="10">
        <f>IF(A90="","",IF(AND(COUNTIF(EventTypeList,C90)&gt;0,COUNTIF('Artifact Registry'!$A$5:$A$200,D90)&gt;0,COUNTIF(FamilyList,E90)&gt;0,COUNTIF(NatureList,F90)&gt;0,COUNTIF(LifecycleList,G90)&gt;0,COUNTIF(SignificanceList,L90)&gt;0,COUNTIF(ConsumerList,M90)&gt;0),"PASS","CHECK"))</f>
        <v/>
      </c>
    </row>
    <row r="91">
      <c r="A91" s="10" t="n"/>
      <c r="B91" s="21" t="n"/>
      <c r="C91" s="10" t="n"/>
      <c r="D91" s="10" t="n"/>
      <c r="E91" s="10" t="n"/>
      <c r="F91" s="10" t="n"/>
      <c r="G91" s="10" t="n"/>
      <c r="H91" s="10" t="n"/>
      <c r="I91" s="10" t="n"/>
      <c r="J91" s="10" t="n"/>
      <c r="K91" s="10" t="n"/>
      <c r="L91" s="10" t="n"/>
      <c r="M91" s="10" t="n"/>
      <c r="N91" s="10" t="n"/>
      <c r="O91" s="10">
        <f>IF(A91="","",IF(AND(COUNTIF(EventTypeList,C91)&gt;0,COUNTIF('Artifact Registry'!$A$5:$A$200,D91)&gt;0,COUNTIF(FamilyList,E91)&gt;0,COUNTIF(NatureList,F91)&gt;0,COUNTIF(LifecycleList,G91)&gt;0,COUNTIF(SignificanceList,L91)&gt;0,COUNTIF(ConsumerList,M91)&gt;0),"PASS","CHECK"))</f>
        <v/>
      </c>
    </row>
    <row r="92">
      <c r="A92" s="10" t="n"/>
      <c r="B92" s="21" t="n"/>
      <c r="C92" s="10" t="n"/>
      <c r="D92" s="10" t="n"/>
      <c r="E92" s="10" t="n"/>
      <c r="F92" s="10" t="n"/>
      <c r="G92" s="10" t="n"/>
      <c r="H92" s="10" t="n"/>
      <c r="I92" s="10" t="n"/>
      <c r="J92" s="10" t="n"/>
      <c r="K92" s="10" t="n"/>
      <c r="L92" s="10" t="n"/>
      <c r="M92" s="10" t="n"/>
      <c r="N92" s="10" t="n"/>
      <c r="O92" s="10">
        <f>IF(A92="","",IF(AND(COUNTIF(EventTypeList,C92)&gt;0,COUNTIF('Artifact Registry'!$A$5:$A$200,D92)&gt;0,COUNTIF(FamilyList,E92)&gt;0,COUNTIF(NatureList,F92)&gt;0,COUNTIF(LifecycleList,G92)&gt;0,COUNTIF(SignificanceList,L92)&gt;0,COUNTIF(ConsumerList,M92)&gt;0),"PASS","CHECK"))</f>
        <v/>
      </c>
    </row>
    <row r="93">
      <c r="A93" s="10" t="n"/>
      <c r="B93" s="21" t="n"/>
      <c r="C93" s="10" t="n"/>
      <c r="D93" s="10" t="n"/>
      <c r="E93" s="10" t="n"/>
      <c r="F93" s="10" t="n"/>
      <c r="G93" s="10" t="n"/>
      <c r="H93" s="10" t="n"/>
      <c r="I93" s="10" t="n"/>
      <c r="J93" s="10" t="n"/>
      <c r="K93" s="10" t="n"/>
      <c r="L93" s="10" t="n"/>
      <c r="M93" s="10" t="n"/>
      <c r="N93" s="10" t="n"/>
      <c r="O93" s="10">
        <f>IF(A93="","",IF(AND(COUNTIF(EventTypeList,C93)&gt;0,COUNTIF('Artifact Registry'!$A$5:$A$200,D93)&gt;0,COUNTIF(FamilyList,E93)&gt;0,COUNTIF(NatureList,F93)&gt;0,COUNTIF(LifecycleList,G93)&gt;0,COUNTIF(SignificanceList,L93)&gt;0,COUNTIF(ConsumerList,M93)&gt;0),"PASS","CHECK"))</f>
        <v/>
      </c>
    </row>
    <row r="94">
      <c r="A94" s="10" t="n"/>
      <c r="B94" s="21" t="n"/>
      <c r="C94" s="10" t="n"/>
      <c r="D94" s="10" t="n"/>
      <c r="E94" s="10" t="n"/>
      <c r="F94" s="10" t="n"/>
      <c r="G94" s="10" t="n"/>
      <c r="H94" s="10" t="n"/>
      <c r="I94" s="10" t="n"/>
      <c r="J94" s="10" t="n"/>
      <c r="K94" s="10" t="n"/>
      <c r="L94" s="10" t="n"/>
      <c r="M94" s="10" t="n"/>
      <c r="N94" s="10" t="n"/>
      <c r="O94" s="10">
        <f>IF(A94="","",IF(AND(COUNTIF(EventTypeList,C94)&gt;0,COUNTIF('Artifact Registry'!$A$5:$A$200,D94)&gt;0,COUNTIF(FamilyList,E94)&gt;0,COUNTIF(NatureList,F94)&gt;0,COUNTIF(LifecycleList,G94)&gt;0,COUNTIF(SignificanceList,L94)&gt;0,COUNTIF(ConsumerList,M94)&gt;0),"PASS","CHECK"))</f>
        <v/>
      </c>
    </row>
    <row r="95">
      <c r="A95" s="10" t="n"/>
      <c r="B95" s="21" t="n"/>
      <c r="C95" s="10" t="n"/>
      <c r="D95" s="10" t="n"/>
      <c r="E95" s="10" t="n"/>
      <c r="F95" s="10" t="n"/>
      <c r="G95" s="10" t="n"/>
      <c r="H95" s="10" t="n"/>
      <c r="I95" s="10" t="n"/>
      <c r="J95" s="10" t="n"/>
      <c r="K95" s="10" t="n"/>
      <c r="L95" s="10" t="n"/>
      <c r="M95" s="10" t="n"/>
      <c r="N95" s="10" t="n"/>
      <c r="O95" s="10">
        <f>IF(A95="","",IF(AND(COUNTIF(EventTypeList,C95)&gt;0,COUNTIF('Artifact Registry'!$A$5:$A$200,D95)&gt;0,COUNTIF(FamilyList,E95)&gt;0,COUNTIF(NatureList,F95)&gt;0,COUNTIF(LifecycleList,G95)&gt;0,COUNTIF(SignificanceList,L95)&gt;0,COUNTIF(ConsumerList,M95)&gt;0),"PASS","CHECK"))</f>
        <v/>
      </c>
    </row>
    <row r="96">
      <c r="A96" s="10" t="n"/>
      <c r="B96" s="21" t="n"/>
      <c r="C96" s="10" t="n"/>
      <c r="D96" s="10" t="n"/>
      <c r="E96" s="10" t="n"/>
      <c r="F96" s="10" t="n"/>
      <c r="G96" s="10" t="n"/>
      <c r="H96" s="10" t="n"/>
      <c r="I96" s="10" t="n"/>
      <c r="J96" s="10" t="n"/>
      <c r="K96" s="10" t="n"/>
      <c r="L96" s="10" t="n"/>
      <c r="M96" s="10" t="n"/>
      <c r="N96" s="10" t="n"/>
      <c r="O96" s="10">
        <f>IF(A96="","",IF(AND(COUNTIF(EventTypeList,C96)&gt;0,COUNTIF('Artifact Registry'!$A$5:$A$200,D96)&gt;0,COUNTIF(FamilyList,E96)&gt;0,COUNTIF(NatureList,F96)&gt;0,COUNTIF(LifecycleList,G96)&gt;0,COUNTIF(SignificanceList,L96)&gt;0,COUNTIF(ConsumerList,M96)&gt;0),"PASS","CHECK"))</f>
        <v/>
      </c>
    </row>
    <row r="97">
      <c r="A97" s="10" t="n"/>
      <c r="B97" s="21" t="n"/>
      <c r="C97" s="10" t="n"/>
      <c r="D97" s="10" t="n"/>
      <c r="E97" s="10" t="n"/>
      <c r="F97" s="10" t="n"/>
      <c r="G97" s="10" t="n"/>
      <c r="H97" s="10" t="n"/>
      <c r="I97" s="10" t="n"/>
      <c r="J97" s="10" t="n"/>
      <c r="K97" s="10" t="n"/>
      <c r="L97" s="10" t="n"/>
      <c r="M97" s="10" t="n"/>
      <c r="N97" s="10" t="n"/>
      <c r="O97" s="10">
        <f>IF(A97="","",IF(AND(COUNTIF(EventTypeList,C97)&gt;0,COUNTIF('Artifact Registry'!$A$5:$A$200,D97)&gt;0,COUNTIF(FamilyList,E97)&gt;0,COUNTIF(NatureList,F97)&gt;0,COUNTIF(LifecycleList,G97)&gt;0,COUNTIF(SignificanceList,L97)&gt;0,COUNTIF(ConsumerList,M97)&gt;0),"PASS","CHECK"))</f>
        <v/>
      </c>
    </row>
    <row r="98">
      <c r="A98" s="10" t="n"/>
      <c r="B98" s="21" t="n"/>
      <c r="C98" s="10" t="n"/>
      <c r="D98" s="10" t="n"/>
      <c r="E98" s="10" t="n"/>
      <c r="F98" s="10" t="n"/>
      <c r="G98" s="10" t="n"/>
      <c r="H98" s="10" t="n"/>
      <c r="I98" s="10" t="n"/>
      <c r="J98" s="10" t="n"/>
      <c r="K98" s="10" t="n"/>
      <c r="L98" s="10" t="n"/>
      <c r="M98" s="10" t="n"/>
      <c r="N98" s="10" t="n"/>
      <c r="O98" s="10">
        <f>IF(A98="","",IF(AND(COUNTIF(EventTypeList,C98)&gt;0,COUNTIF('Artifact Registry'!$A$5:$A$200,D98)&gt;0,COUNTIF(FamilyList,E98)&gt;0,COUNTIF(NatureList,F98)&gt;0,COUNTIF(LifecycleList,G98)&gt;0,COUNTIF(SignificanceList,L98)&gt;0,COUNTIF(ConsumerList,M98)&gt;0),"PASS","CHECK"))</f>
        <v/>
      </c>
    </row>
    <row r="99">
      <c r="A99" s="10" t="n"/>
      <c r="B99" s="21" t="n"/>
      <c r="C99" s="10" t="n"/>
      <c r="D99" s="10" t="n"/>
      <c r="E99" s="10" t="n"/>
      <c r="F99" s="10" t="n"/>
      <c r="G99" s="10" t="n"/>
      <c r="H99" s="10" t="n"/>
      <c r="I99" s="10" t="n"/>
      <c r="J99" s="10" t="n"/>
      <c r="K99" s="10" t="n"/>
      <c r="L99" s="10" t="n"/>
      <c r="M99" s="10" t="n"/>
      <c r="N99" s="10" t="n"/>
      <c r="O99" s="10">
        <f>IF(A99="","",IF(AND(COUNTIF(EventTypeList,C99)&gt;0,COUNTIF('Artifact Registry'!$A$5:$A$200,D99)&gt;0,COUNTIF(FamilyList,E99)&gt;0,COUNTIF(NatureList,F99)&gt;0,COUNTIF(LifecycleList,G99)&gt;0,COUNTIF(SignificanceList,L99)&gt;0,COUNTIF(ConsumerList,M99)&gt;0),"PASS","CHECK"))</f>
        <v/>
      </c>
    </row>
    <row r="100">
      <c r="A100" s="10" t="n"/>
      <c r="B100" s="21" t="n"/>
      <c r="C100" s="10" t="n"/>
      <c r="D100" s="10" t="n"/>
      <c r="E100" s="10" t="n"/>
      <c r="F100" s="10" t="n"/>
      <c r="G100" s="10" t="n"/>
      <c r="H100" s="10" t="n"/>
      <c r="I100" s="10" t="n"/>
      <c r="J100" s="10" t="n"/>
      <c r="K100" s="10" t="n"/>
      <c r="L100" s="10" t="n"/>
      <c r="M100" s="10" t="n"/>
      <c r="N100" s="10" t="n"/>
      <c r="O100" s="10">
        <f>IF(A100="","",IF(AND(COUNTIF(EventTypeList,C100)&gt;0,COUNTIF('Artifact Registry'!$A$5:$A$200,D100)&gt;0,COUNTIF(FamilyList,E100)&gt;0,COUNTIF(NatureList,F100)&gt;0,COUNTIF(LifecycleList,G100)&gt;0,COUNTIF(SignificanceList,L100)&gt;0,COUNTIF(ConsumerList,M100)&gt;0),"PASS","CHECK"))</f>
        <v/>
      </c>
    </row>
    <row r="101">
      <c r="A101" s="10" t="n"/>
      <c r="B101" s="21" t="n"/>
      <c r="C101" s="10" t="n"/>
      <c r="D101" s="10" t="n"/>
      <c r="E101" s="10" t="n"/>
      <c r="F101" s="10" t="n"/>
      <c r="G101" s="10" t="n"/>
      <c r="H101" s="10" t="n"/>
      <c r="I101" s="10" t="n"/>
      <c r="J101" s="10" t="n"/>
      <c r="K101" s="10" t="n"/>
      <c r="L101" s="10" t="n"/>
      <c r="M101" s="10" t="n"/>
      <c r="N101" s="10" t="n"/>
      <c r="O101" s="10">
        <f>IF(A101="","",IF(AND(COUNTIF(EventTypeList,C101)&gt;0,COUNTIF('Artifact Registry'!$A$5:$A$200,D101)&gt;0,COUNTIF(FamilyList,E101)&gt;0,COUNTIF(NatureList,F101)&gt;0,COUNTIF(LifecycleList,G101)&gt;0,COUNTIF(SignificanceList,L101)&gt;0,COUNTIF(ConsumerList,M101)&gt;0),"PASS","CHECK"))</f>
        <v/>
      </c>
    </row>
    <row r="102">
      <c r="A102" s="10" t="n"/>
      <c r="B102" s="21" t="n"/>
      <c r="C102" s="10" t="n"/>
      <c r="D102" s="10" t="n"/>
      <c r="E102" s="10" t="n"/>
      <c r="F102" s="10" t="n"/>
      <c r="G102" s="10" t="n"/>
      <c r="H102" s="10" t="n"/>
      <c r="I102" s="10" t="n"/>
      <c r="J102" s="10" t="n"/>
      <c r="K102" s="10" t="n"/>
      <c r="L102" s="10" t="n"/>
      <c r="M102" s="10" t="n"/>
      <c r="N102" s="10" t="n"/>
      <c r="O102" s="10">
        <f>IF(A102="","",IF(AND(COUNTIF(EventTypeList,C102)&gt;0,COUNTIF('Artifact Registry'!$A$5:$A$200,D102)&gt;0,COUNTIF(FamilyList,E102)&gt;0,COUNTIF(NatureList,F102)&gt;0,COUNTIF(LifecycleList,G102)&gt;0,COUNTIF(SignificanceList,L102)&gt;0,COUNTIF(ConsumerList,M102)&gt;0),"PASS","CHECK"))</f>
        <v/>
      </c>
    </row>
    <row r="103">
      <c r="A103" s="10" t="n"/>
      <c r="B103" s="21" t="n"/>
      <c r="C103" s="10" t="n"/>
      <c r="D103" s="10" t="n"/>
      <c r="E103" s="10" t="n"/>
      <c r="F103" s="10" t="n"/>
      <c r="G103" s="10" t="n"/>
      <c r="H103" s="10" t="n"/>
      <c r="I103" s="10" t="n"/>
      <c r="J103" s="10" t="n"/>
      <c r="K103" s="10" t="n"/>
      <c r="L103" s="10" t="n"/>
      <c r="M103" s="10" t="n"/>
      <c r="N103" s="10" t="n"/>
      <c r="O103" s="10">
        <f>IF(A103="","",IF(AND(COUNTIF(EventTypeList,C103)&gt;0,COUNTIF('Artifact Registry'!$A$5:$A$200,D103)&gt;0,COUNTIF(FamilyList,E103)&gt;0,COUNTIF(NatureList,F103)&gt;0,COUNTIF(LifecycleList,G103)&gt;0,COUNTIF(SignificanceList,L103)&gt;0,COUNTIF(ConsumerList,M103)&gt;0),"PASS","CHECK"))</f>
        <v/>
      </c>
    </row>
    <row r="104">
      <c r="A104" s="10" t="n"/>
      <c r="B104" s="21" t="n"/>
      <c r="C104" s="10" t="n"/>
      <c r="D104" s="10" t="n"/>
      <c r="E104" s="10" t="n"/>
      <c r="F104" s="10" t="n"/>
      <c r="G104" s="10" t="n"/>
      <c r="H104" s="10" t="n"/>
      <c r="I104" s="10" t="n"/>
      <c r="J104" s="10" t="n"/>
      <c r="K104" s="10" t="n"/>
      <c r="L104" s="10" t="n"/>
      <c r="M104" s="10" t="n"/>
      <c r="N104" s="10" t="n"/>
      <c r="O104" s="10">
        <f>IF(A104="","",IF(AND(COUNTIF(EventTypeList,C104)&gt;0,COUNTIF('Artifact Registry'!$A$5:$A$200,D104)&gt;0,COUNTIF(FamilyList,E104)&gt;0,COUNTIF(NatureList,F104)&gt;0,COUNTIF(LifecycleList,G104)&gt;0,COUNTIF(SignificanceList,L104)&gt;0,COUNTIF(ConsumerList,M104)&gt;0),"PASS","CHECK"))</f>
        <v/>
      </c>
    </row>
    <row r="105">
      <c r="A105" s="10" t="n"/>
      <c r="B105" s="21" t="n"/>
      <c r="C105" s="10" t="n"/>
      <c r="D105" s="10" t="n"/>
      <c r="E105" s="10" t="n"/>
      <c r="F105" s="10" t="n"/>
      <c r="G105" s="10" t="n"/>
      <c r="H105" s="10" t="n"/>
      <c r="I105" s="10" t="n"/>
      <c r="J105" s="10" t="n"/>
      <c r="K105" s="10" t="n"/>
      <c r="L105" s="10" t="n"/>
      <c r="M105" s="10" t="n"/>
      <c r="N105" s="10" t="n"/>
      <c r="O105" s="10">
        <f>IF(A105="","",IF(AND(COUNTIF(EventTypeList,C105)&gt;0,COUNTIF('Artifact Registry'!$A$5:$A$200,D105)&gt;0,COUNTIF(FamilyList,E105)&gt;0,COUNTIF(NatureList,F105)&gt;0,COUNTIF(LifecycleList,G105)&gt;0,COUNTIF(SignificanceList,L105)&gt;0,COUNTIF(ConsumerList,M105)&gt;0),"PASS","CHECK"))</f>
        <v/>
      </c>
    </row>
    <row r="106">
      <c r="A106" s="10" t="n"/>
      <c r="B106" s="21" t="n"/>
      <c r="C106" s="10" t="n"/>
      <c r="D106" s="10" t="n"/>
      <c r="E106" s="10" t="n"/>
      <c r="F106" s="10" t="n"/>
      <c r="G106" s="10" t="n"/>
      <c r="H106" s="10" t="n"/>
      <c r="I106" s="10" t="n"/>
      <c r="J106" s="10" t="n"/>
      <c r="K106" s="10" t="n"/>
      <c r="L106" s="10" t="n"/>
      <c r="M106" s="10" t="n"/>
      <c r="N106" s="10" t="n"/>
      <c r="O106" s="10">
        <f>IF(A106="","",IF(AND(COUNTIF(EventTypeList,C106)&gt;0,COUNTIF('Artifact Registry'!$A$5:$A$200,D106)&gt;0,COUNTIF(FamilyList,E106)&gt;0,COUNTIF(NatureList,F106)&gt;0,COUNTIF(LifecycleList,G106)&gt;0,COUNTIF(SignificanceList,L106)&gt;0,COUNTIF(ConsumerList,M106)&gt;0),"PASS","CHECK"))</f>
        <v/>
      </c>
    </row>
    <row r="107">
      <c r="A107" s="10" t="n"/>
      <c r="B107" s="21" t="n"/>
      <c r="C107" s="10" t="n"/>
      <c r="D107" s="10" t="n"/>
      <c r="E107" s="10" t="n"/>
      <c r="F107" s="10" t="n"/>
      <c r="G107" s="10" t="n"/>
      <c r="H107" s="10" t="n"/>
      <c r="I107" s="10" t="n"/>
      <c r="J107" s="10" t="n"/>
      <c r="K107" s="10" t="n"/>
      <c r="L107" s="10" t="n"/>
      <c r="M107" s="10" t="n"/>
      <c r="N107" s="10" t="n"/>
      <c r="O107" s="10">
        <f>IF(A107="","",IF(AND(COUNTIF(EventTypeList,C107)&gt;0,COUNTIF('Artifact Registry'!$A$5:$A$200,D107)&gt;0,COUNTIF(FamilyList,E107)&gt;0,COUNTIF(NatureList,F107)&gt;0,COUNTIF(LifecycleList,G107)&gt;0,COUNTIF(SignificanceList,L107)&gt;0,COUNTIF(ConsumerList,M107)&gt;0),"PASS","CHECK"))</f>
        <v/>
      </c>
    </row>
    <row r="108">
      <c r="A108" s="10" t="n"/>
      <c r="B108" s="21" t="n"/>
      <c r="C108" s="10" t="n"/>
      <c r="D108" s="10" t="n"/>
      <c r="E108" s="10" t="n"/>
      <c r="F108" s="10" t="n"/>
      <c r="G108" s="10" t="n"/>
      <c r="H108" s="10" t="n"/>
      <c r="I108" s="10" t="n"/>
      <c r="J108" s="10" t="n"/>
      <c r="K108" s="10" t="n"/>
      <c r="L108" s="10" t="n"/>
      <c r="M108" s="10" t="n"/>
      <c r="N108" s="10" t="n"/>
      <c r="O108" s="10">
        <f>IF(A108="","",IF(AND(COUNTIF(EventTypeList,C108)&gt;0,COUNTIF('Artifact Registry'!$A$5:$A$200,D108)&gt;0,COUNTIF(FamilyList,E108)&gt;0,COUNTIF(NatureList,F108)&gt;0,COUNTIF(LifecycleList,G108)&gt;0,COUNTIF(SignificanceList,L108)&gt;0,COUNTIF(ConsumerList,M108)&gt;0),"PASS","CHECK"))</f>
        <v/>
      </c>
    </row>
    <row r="109">
      <c r="A109" s="10" t="n"/>
      <c r="B109" s="21" t="n"/>
      <c r="C109" s="10" t="n"/>
      <c r="D109" s="10" t="n"/>
      <c r="E109" s="10" t="n"/>
      <c r="F109" s="10" t="n"/>
      <c r="G109" s="10" t="n"/>
      <c r="H109" s="10" t="n"/>
      <c r="I109" s="10" t="n"/>
      <c r="J109" s="10" t="n"/>
      <c r="K109" s="10" t="n"/>
      <c r="L109" s="10" t="n"/>
      <c r="M109" s="10" t="n"/>
      <c r="N109" s="10" t="n"/>
      <c r="O109" s="10">
        <f>IF(A109="","",IF(AND(COUNTIF(EventTypeList,C109)&gt;0,COUNTIF('Artifact Registry'!$A$5:$A$200,D109)&gt;0,COUNTIF(FamilyList,E109)&gt;0,COUNTIF(NatureList,F109)&gt;0,COUNTIF(LifecycleList,G109)&gt;0,COUNTIF(SignificanceList,L109)&gt;0,COUNTIF(ConsumerList,M109)&gt;0),"PASS","CHECK"))</f>
        <v/>
      </c>
    </row>
    <row r="110">
      <c r="A110" s="10" t="n"/>
      <c r="B110" s="21" t="n"/>
      <c r="C110" s="10" t="n"/>
      <c r="D110" s="10" t="n"/>
      <c r="E110" s="10" t="n"/>
      <c r="F110" s="10" t="n"/>
      <c r="G110" s="10" t="n"/>
      <c r="H110" s="10" t="n"/>
      <c r="I110" s="10" t="n"/>
      <c r="J110" s="10" t="n"/>
      <c r="K110" s="10" t="n"/>
      <c r="L110" s="10" t="n"/>
      <c r="M110" s="10" t="n"/>
      <c r="N110" s="10" t="n"/>
      <c r="O110" s="10">
        <f>IF(A110="","",IF(AND(COUNTIF(EventTypeList,C110)&gt;0,COUNTIF('Artifact Registry'!$A$5:$A$200,D110)&gt;0,COUNTIF(FamilyList,E110)&gt;0,COUNTIF(NatureList,F110)&gt;0,COUNTIF(LifecycleList,G110)&gt;0,COUNTIF(SignificanceList,L110)&gt;0,COUNTIF(ConsumerList,M110)&gt;0),"PASS","CHECK"))</f>
        <v/>
      </c>
    </row>
    <row r="111">
      <c r="A111" s="10" t="n"/>
      <c r="B111" s="21" t="n"/>
      <c r="C111" s="10" t="n"/>
      <c r="D111" s="10" t="n"/>
      <c r="E111" s="10" t="n"/>
      <c r="F111" s="10" t="n"/>
      <c r="G111" s="10" t="n"/>
      <c r="H111" s="10" t="n"/>
      <c r="I111" s="10" t="n"/>
      <c r="J111" s="10" t="n"/>
      <c r="K111" s="10" t="n"/>
      <c r="L111" s="10" t="n"/>
      <c r="M111" s="10" t="n"/>
      <c r="N111" s="10" t="n"/>
      <c r="O111" s="10">
        <f>IF(A111="","",IF(AND(COUNTIF(EventTypeList,C111)&gt;0,COUNTIF('Artifact Registry'!$A$5:$A$200,D111)&gt;0,COUNTIF(FamilyList,E111)&gt;0,COUNTIF(NatureList,F111)&gt;0,COUNTIF(LifecycleList,G111)&gt;0,COUNTIF(SignificanceList,L111)&gt;0,COUNTIF(ConsumerList,M111)&gt;0),"PASS","CHECK"))</f>
        <v/>
      </c>
    </row>
    <row r="112">
      <c r="A112" s="10" t="n"/>
      <c r="B112" s="21" t="n"/>
      <c r="C112" s="10" t="n"/>
      <c r="D112" s="10" t="n"/>
      <c r="E112" s="10" t="n"/>
      <c r="F112" s="10" t="n"/>
      <c r="G112" s="10" t="n"/>
      <c r="H112" s="10" t="n"/>
      <c r="I112" s="10" t="n"/>
      <c r="J112" s="10" t="n"/>
      <c r="K112" s="10" t="n"/>
      <c r="L112" s="10" t="n"/>
      <c r="M112" s="10" t="n"/>
      <c r="N112" s="10" t="n"/>
      <c r="O112" s="10">
        <f>IF(A112="","",IF(AND(COUNTIF(EventTypeList,C112)&gt;0,COUNTIF('Artifact Registry'!$A$5:$A$200,D112)&gt;0,COUNTIF(FamilyList,E112)&gt;0,COUNTIF(NatureList,F112)&gt;0,COUNTIF(LifecycleList,G112)&gt;0,COUNTIF(SignificanceList,L112)&gt;0,COUNTIF(ConsumerList,M112)&gt;0),"PASS","CHECK"))</f>
        <v/>
      </c>
    </row>
    <row r="113">
      <c r="A113" s="10" t="n"/>
      <c r="B113" s="21" t="n"/>
      <c r="C113" s="10" t="n"/>
      <c r="D113" s="10" t="n"/>
      <c r="E113" s="10" t="n"/>
      <c r="F113" s="10" t="n"/>
      <c r="G113" s="10" t="n"/>
      <c r="H113" s="10" t="n"/>
      <c r="I113" s="10" t="n"/>
      <c r="J113" s="10" t="n"/>
      <c r="K113" s="10" t="n"/>
      <c r="L113" s="10" t="n"/>
      <c r="M113" s="10" t="n"/>
      <c r="N113" s="10" t="n"/>
      <c r="O113" s="10">
        <f>IF(A113="","",IF(AND(COUNTIF(EventTypeList,C113)&gt;0,COUNTIF('Artifact Registry'!$A$5:$A$200,D113)&gt;0,COUNTIF(FamilyList,E113)&gt;0,COUNTIF(NatureList,F113)&gt;0,COUNTIF(LifecycleList,G113)&gt;0,COUNTIF(SignificanceList,L113)&gt;0,COUNTIF(ConsumerList,M113)&gt;0),"PASS","CHECK"))</f>
        <v/>
      </c>
    </row>
    <row r="114">
      <c r="A114" s="10" t="n"/>
      <c r="B114" s="21" t="n"/>
      <c r="C114" s="10" t="n"/>
      <c r="D114" s="10" t="n"/>
      <c r="E114" s="10" t="n"/>
      <c r="F114" s="10" t="n"/>
      <c r="G114" s="10" t="n"/>
      <c r="H114" s="10" t="n"/>
      <c r="I114" s="10" t="n"/>
      <c r="J114" s="10" t="n"/>
      <c r="K114" s="10" t="n"/>
      <c r="L114" s="10" t="n"/>
      <c r="M114" s="10" t="n"/>
      <c r="N114" s="10" t="n"/>
      <c r="O114" s="10">
        <f>IF(A114="","",IF(AND(COUNTIF(EventTypeList,C114)&gt;0,COUNTIF('Artifact Registry'!$A$5:$A$200,D114)&gt;0,COUNTIF(FamilyList,E114)&gt;0,COUNTIF(NatureList,F114)&gt;0,COUNTIF(LifecycleList,G114)&gt;0,COUNTIF(SignificanceList,L114)&gt;0,COUNTIF(ConsumerList,M114)&gt;0),"PASS","CHECK"))</f>
        <v/>
      </c>
    </row>
    <row r="115">
      <c r="A115" s="10" t="n"/>
      <c r="B115" s="21" t="n"/>
      <c r="C115" s="10" t="n"/>
      <c r="D115" s="10" t="n"/>
      <c r="E115" s="10" t="n"/>
      <c r="F115" s="10" t="n"/>
      <c r="G115" s="10" t="n"/>
      <c r="H115" s="10" t="n"/>
      <c r="I115" s="10" t="n"/>
      <c r="J115" s="10" t="n"/>
      <c r="K115" s="10" t="n"/>
      <c r="L115" s="10" t="n"/>
      <c r="M115" s="10" t="n"/>
      <c r="N115" s="10" t="n"/>
      <c r="O115" s="10">
        <f>IF(A115="","",IF(AND(COUNTIF(EventTypeList,C115)&gt;0,COUNTIF('Artifact Registry'!$A$5:$A$200,D115)&gt;0,COUNTIF(FamilyList,E115)&gt;0,COUNTIF(NatureList,F115)&gt;0,COUNTIF(LifecycleList,G115)&gt;0,COUNTIF(SignificanceList,L115)&gt;0,COUNTIF(ConsumerList,M115)&gt;0),"PASS","CHECK"))</f>
        <v/>
      </c>
    </row>
    <row r="116">
      <c r="A116" s="10" t="n"/>
      <c r="B116" s="21" t="n"/>
      <c r="C116" s="10" t="n"/>
      <c r="D116" s="10" t="n"/>
      <c r="E116" s="10" t="n"/>
      <c r="F116" s="10" t="n"/>
      <c r="G116" s="10" t="n"/>
      <c r="H116" s="10" t="n"/>
      <c r="I116" s="10" t="n"/>
      <c r="J116" s="10" t="n"/>
      <c r="K116" s="10" t="n"/>
      <c r="L116" s="10" t="n"/>
      <c r="M116" s="10" t="n"/>
      <c r="N116" s="10" t="n"/>
      <c r="O116" s="10">
        <f>IF(A116="","",IF(AND(COUNTIF(EventTypeList,C116)&gt;0,COUNTIF('Artifact Registry'!$A$5:$A$200,D116)&gt;0,COUNTIF(FamilyList,E116)&gt;0,COUNTIF(NatureList,F116)&gt;0,COUNTIF(LifecycleList,G116)&gt;0,COUNTIF(SignificanceList,L116)&gt;0,COUNTIF(ConsumerList,M116)&gt;0),"PASS","CHECK"))</f>
        <v/>
      </c>
    </row>
    <row r="117">
      <c r="A117" s="10" t="n"/>
      <c r="B117" s="21" t="n"/>
      <c r="C117" s="10" t="n"/>
      <c r="D117" s="10" t="n"/>
      <c r="E117" s="10" t="n"/>
      <c r="F117" s="10" t="n"/>
      <c r="G117" s="10" t="n"/>
      <c r="H117" s="10" t="n"/>
      <c r="I117" s="10" t="n"/>
      <c r="J117" s="10" t="n"/>
      <c r="K117" s="10" t="n"/>
      <c r="L117" s="10" t="n"/>
      <c r="M117" s="10" t="n"/>
      <c r="N117" s="10" t="n"/>
      <c r="O117" s="10">
        <f>IF(A117="","",IF(AND(COUNTIF(EventTypeList,C117)&gt;0,COUNTIF('Artifact Registry'!$A$5:$A$200,D117)&gt;0,COUNTIF(FamilyList,E117)&gt;0,COUNTIF(NatureList,F117)&gt;0,COUNTIF(LifecycleList,G117)&gt;0,COUNTIF(SignificanceList,L117)&gt;0,COUNTIF(ConsumerList,M117)&gt;0),"PASS","CHECK"))</f>
        <v/>
      </c>
    </row>
    <row r="118">
      <c r="A118" s="10" t="n"/>
      <c r="B118" s="21" t="n"/>
      <c r="C118" s="10" t="n"/>
      <c r="D118" s="10" t="n"/>
      <c r="E118" s="10" t="n"/>
      <c r="F118" s="10" t="n"/>
      <c r="G118" s="10" t="n"/>
      <c r="H118" s="10" t="n"/>
      <c r="I118" s="10" t="n"/>
      <c r="J118" s="10" t="n"/>
      <c r="K118" s="10" t="n"/>
      <c r="L118" s="10" t="n"/>
      <c r="M118" s="10" t="n"/>
      <c r="N118" s="10" t="n"/>
      <c r="O118" s="10">
        <f>IF(A118="","",IF(AND(COUNTIF(EventTypeList,C118)&gt;0,COUNTIF('Artifact Registry'!$A$5:$A$200,D118)&gt;0,COUNTIF(FamilyList,E118)&gt;0,COUNTIF(NatureList,F118)&gt;0,COUNTIF(LifecycleList,G118)&gt;0,COUNTIF(SignificanceList,L118)&gt;0,COUNTIF(ConsumerList,M118)&gt;0),"PASS","CHECK"))</f>
        <v/>
      </c>
    </row>
    <row r="119">
      <c r="A119" s="10" t="n"/>
      <c r="B119" s="21" t="n"/>
      <c r="C119" s="10" t="n"/>
      <c r="D119" s="10" t="n"/>
      <c r="E119" s="10" t="n"/>
      <c r="F119" s="10" t="n"/>
      <c r="G119" s="10" t="n"/>
      <c r="H119" s="10" t="n"/>
      <c r="I119" s="10" t="n"/>
      <c r="J119" s="10" t="n"/>
      <c r="K119" s="10" t="n"/>
      <c r="L119" s="10" t="n"/>
      <c r="M119" s="10" t="n"/>
      <c r="N119" s="10" t="n"/>
      <c r="O119" s="10">
        <f>IF(A119="","",IF(AND(COUNTIF(EventTypeList,C119)&gt;0,COUNTIF('Artifact Registry'!$A$5:$A$200,D119)&gt;0,COUNTIF(FamilyList,E119)&gt;0,COUNTIF(NatureList,F119)&gt;0,COUNTIF(LifecycleList,G119)&gt;0,COUNTIF(SignificanceList,L119)&gt;0,COUNTIF(ConsumerList,M119)&gt;0),"PASS","CHECK"))</f>
        <v/>
      </c>
    </row>
    <row r="120">
      <c r="A120" s="10" t="n"/>
      <c r="B120" s="21" t="n"/>
      <c r="C120" s="10" t="n"/>
      <c r="D120" s="10" t="n"/>
      <c r="E120" s="10" t="n"/>
      <c r="F120" s="10" t="n"/>
      <c r="G120" s="10" t="n"/>
      <c r="H120" s="10" t="n"/>
      <c r="I120" s="10" t="n"/>
      <c r="J120" s="10" t="n"/>
      <c r="K120" s="10" t="n"/>
      <c r="L120" s="10" t="n"/>
      <c r="M120" s="10" t="n"/>
      <c r="N120" s="10" t="n"/>
      <c r="O120" s="10">
        <f>IF(A120="","",IF(AND(COUNTIF(EventTypeList,C120)&gt;0,COUNTIF('Artifact Registry'!$A$5:$A$200,D120)&gt;0,COUNTIF(FamilyList,E120)&gt;0,COUNTIF(NatureList,F120)&gt;0,COUNTIF(LifecycleList,G120)&gt;0,COUNTIF(SignificanceList,L120)&gt;0,COUNTIF(ConsumerList,M120)&gt;0),"PASS","CHECK"))</f>
        <v/>
      </c>
    </row>
    <row r="121">
      <c r="A121" s="10" t="n"/>
      <c r="B121" s="21" t="n"/>
      <c r="C121" s="10" t="n"/>
      <c r="D121" s="10" t="n"/>
      <c r="E121" s="10" t="n"/>
      <c r="F121" s="10" t="n"/>
      <c r="G121" s="10" t="n"/>
      <c r="H121" s="10" t="n"/>
      <c r="I121" s="10" t="n"/>
      <c r="J121" s="10" t="n"/>
      <c r="K121" s="10" t="n"/>
      <c r="L121" s="10" t="n"/>
      <c r="M121" s="10" t="n"/>
      <c r="N121" s="10" t="n"/>
      <c r="O121" s="10">
        <f>IF(A121="","",IF(AND(COUNTIF(EventTypeList,C121)&gt;0,COUNTIF('Artifact Registry'!$A$5:$A$200,D121)&gt;0,COUNTIF(FamilyList,E121)&gt;0,COUNTIF(NatureList,F121)&gt;0,COUNTIF(LifecycleList,G121)&gt;0,COUNTIF(SignificanceList,L121)&gt;0,COUNTIF(ConsumerList,M121)&gt;0),"PASS","CHECK"))</f>
        <v/>
      </c>
    </row>
    <row r="122">
      <c r="A122" s="10" t="n"/>
      <c r="B122" s="21" t="n"/>
      <c r="C122" s="10" t="n"/>
      <c r="D122" s="10" t="n"/>
      <c r="E122" s="10" t="n"/>
      <c r="F122" s="10" t="n"/>
      <c r="G122" s="10" t="n"/>
      <c r="H122" s="10" t="n"/>
      <c r="I122" s="10" t="n"/>
      <c r="J122" s="10" t="n"/>
      <c r="K122" s="10" t="n"/>
      <c r="L122" s="10" t="n"/>
      <c r="M122" s="10" t="n"/>
      <c r="N122" s="10" t="n"/>
      <c r="O122" s="10">
        <f>IF(A122="","",IF(AND(COUNTIF(EventTypeList,C122)&gt;0,COUNTIF('Artifact Registry'!$A$5:$A$200,D122)&gt;0,COUNTIF(FamilyList,E122)&gt;0,COUNTIF(NatureList,F122)&gt;0,COUNTIF(LifecycleList,G122)&gt;0,COUNTIF(SignificanceList,L122)&gt;0,COUNTIF(ConsumerList,M122)&gt;0),"PASS","CHECK"))</f>
        <v/>
      </c>
    </row>
    <row r="123">
      <c r="A123" s="10" t="n"/>
      <c r="B123" s="21" t="n"/>
      <c r="C123" s="10" t="n"/>
      <c r="D123" s="10" t="n"/>
      <c r="E123" s="10" t="n"/>
      <c r="F123" s="10" t="n"/>
      <c r="G123" s="10" t="n"/>
      <c r="H123" s="10" t="n"/>
      <c r="I123" s="10" t="n"/>
      <c r="J123" s="10" t="n"/>
      <c r="K123" s="10" t="n"/>
      <c r="L123" s="10" t="n"/>
      <c r="M123" s="10" t="n"/>
      <c r="N123" s="10" t="n"/>
      <c r="O123" s="10">
        <f>IF(A123="","",IF(AND(COUNTIF(EventTypeList,C123)&gt;0,COUNTIF('Artifact Registry'!$A$5:$A$200,D123)&gt;0,COUNTIF(FamilyList,E123)&gt;0,COUNTIF(NatureList,F123)&gt;0,COUNTIF(LifecycleList,G123)&gt;0,COUNTIF(SignificanceList,L123)&gt;0,COUNTIF(ConsumerList,M123)&gt;0),"PASS","CHECK"))</f>
        <v/>
      </c>
    </row>
    <row r="124">
      <c r="A124" s="10" t="n"/>
      <c r="B124" s="21" t="n"/>
      <c r="C124" s="10" t="n"/>
      <c r="D124" s="10" t="n"/>
      <c r="E124" s="10" t="n"/>
      <c r="F124" s="10" t="n"/>
      <c r="G124" s="10" t="n"/>
      <c r="H124" s="10" t="n"/>
      <c r="I124" s="10" t="n"/>
      <c r="J124" s="10" t="n"/>
      <c r="K124" s="10" t="n"/>
      <c r="L124" s="10" t="n"/>
      <c r="M124" s="10" t="n"/>
      <c r="N124" s="10" t="n"/>
      <c r="O124" s="10">
        <f>IF(A124="","",IF(AND(COUNTIF(EventTypeList,C124)&gt;0,COUNTIF('Artifact Registry'!$A$5:$A$200,D124)&gt;0,COUNTIF(FamilyList,E124)&gt;0,COUNTIF(NatureList,F124)&gt;0,COUNTIF(LifecycleList,G124)&gt;0,COUNTIF(SignificanceList,L124)&gt;0,COUNTIF(ConsumerList,M124)&gt;0),"PASS","CHECK"))</f>
        <v/>
      </c>
    </row>
    <row r="125">
      <c r="A125" s="10" t="n"/>
      <c r="B125" s="21" t="n"/>
      <c r="C125" s="10" t="n"/>
      <c r="D125" s="10" t="n"/>
      <c r="E125" s="10" t="n"/>
      <c r="F125" s="10" t="n"/>
      <c r="G125" s="10" t="n"/>
      <c r="H125" s="10" t="n"/>
      <c r="I125" s="10" t="n"/>
      <c r="J125" s="10" t="n"/>
      <c r="K125" s="10" t="n"/>
      <c r="L125" s="10" t="n"/>
      <c r="M125" s="10" t="n"/>
      <c r="N125" s="10" t="n"/>
      <c r="O125" s="10">
        <f>IF(A125="","",IF(AND(COUNTIF(EventTypeList,C125)&gt;0,COUNTIF('Artifact Registry'!$A$5:$A$200,D125)&gt;0,COUNTIF(FamilyList,E125)&gt;0,COUNTIF(NatureList,F125)&gt;0,COUNTIF(LifecycleList,G125)&gt;0,COUNTIF(SignificanceList,L125)&gt;0,COUNTIF(ConsumerList,M125)&gt;0),"PASS","CHECK"))</f>
        <v/>
      </c>
    </row>
    <row r="126">
      <c r="A126" s="10" t="n"/>
      <c r="B126" s="21" t="n"/>
      <c r="C126" s="10" t="n"/>
      <c r="D126" s="10" t="n"/>
      <c r="E126" s="10" t="n"/>
      <c r="F126" s="10" t="n"/>
      <c r="G126" s="10" t="n"/>
      <c r="H126" s="10" t="n"/>
      <c r="I126" s="10" t="n"/>
      <c r="J126" s="10" t="n"/>
      <c r="K126" s="10" t="n"/>
      <c r="L126" s="10" t="n"/>
      <c r="M126" s="10" t="n"/>
      <c r="N126" s="10" t="n"/>
      <c r="O126" s="10">
        <f>IF(A126="","",IF(AND(COUNTIF(EventTypeList,C126)&gt;0,COUNTIF('Artifact Registry'!$A$5:$A$200,D126)&gt;0,COUNTIF(FamilyList,E126)&gt;0,COUNTIF(NatureList,F126)&gt;0,COUNTIF(LifecycleList,G126)&gt;0,COUNTIF(SignificanceList,L126)&gt;0,COUNTIF(ConsumerList,M126)&gt;0),"PASS","CHECK"))</f>
        <v/>
      </c>
    </row>
    <row r="127">
      <c r="A127" s="10" t="n"/>
      <c r="B127" s="21" t="n"/>
      <c r="C127" s="10" t="n"/>
      <c r="D127" s="10" t="n"/>
      <c r="E127" s="10" t="n"/>
      <c r="F127" s="10" t="n"/>
      <c r="G127" s="10" t="n"/>
      <c r="H127" s="10" t="n"/>
      <c r="I127" s="10" t="n"/>
      <c r="J127" s="10" t="n"/>
      <c r="K127" s="10" t="n"/>
      <c r="L127" s="10" t="n"/>
      <c r="M127" s="10" t="n"/>
      <c r="N127" s="10" t="n"/>
      <c r="O127" s="10">
        <f>IF(A127="","",IF(AND(COUNTIF(EventTypeList,C127)&gt;0,COUNTIF('Artifact Registry'!$A$5:$A$200,D127)&gt;0,COUNTIF(FamilyList,E127)&gt;0,COUNTIF(NatureList,F127)&gt;0,COUNTIF(LifecycleList,G127)&gt;0,COUNTIF(SignificanceList,L127)&gt;0,COUNTIF(ConsumerList,M127)&gt;0),"PASS","CHECK"))</f>
        <v/>
      </c>
    </row>
    <row r="128">
      <c r="A128" s="10" t="n"/>
      <c r="B128" s="21" t="n"/>
      <c r="C128" s="10" t="n"/>
      <c r="D128" s="10" t="n"/>
      <c r="E128" s="10" t="n"/>
      <c r="F128" s="10" t="n"/>
      <c r="G128" s="10" t="n"/>
      <c r="H128" s="10" t="n"/>
      <c r="I128" s="10" t="n"/>
      <c r="J128" s="10" t="n"/>
      <c r="K128" s="10" t="n"/>
      <c r="L128" s="10" t="n"/>
      <c r="M128" s="10" t="n"/>
      <c r="N128" s="10" t="n"/>
      <c r="O128" s="10">
        <f>IF(A128="","",IF(AND(COUNTIF(EventTypeList,C128)&gt;0,COUNTIF('Artifact Registry'!$A$5:$A$200,D128)&gt;0,COUNTIF(FamilyList,E128)&gt;0,COUNTIF(NatureList,F128)&gt;0,COUNTIF(LifecycleList,G128)&gt;0,COUNTIF(SignificanceList,L128)&gt;0,COUNTIF(ConsumerList,M128)&gt;0),"PASS","CHECK"))</f>
        <v/>
      </c>
    </row>
    <row r="129">
      <c r="A129" s="10" t="n"/>
      <c r="B129" s="21" t="n"/>
      <c r="C129" s="10" t="n"/>
      <c r="D129" s="10" t="n"/>
      <c r="E129" s="10" t="n"/>
      <c r="F129" s="10" t="n"/>
      <c r="G129" s="10" t="n"/>
      <c r="H129" s="10" t="n"/>
      <c r="I129" s="10" t="n"/>
      <c r="J129" s="10" t="n"/>
      <c r="K129" s="10" t="n"/>
      <c r="L129" s="10" t="n"/>
      <c r="M129" s="10" t="n"/>
      <c r="N129" s="10" t="n"/>
      <c r="O129" s="10">
        <f>IF(A129="","",IF(AND(COUNTIF(EventTypeList,C129)&gt;0,COUNTIF('Artifact Registry'!$A$5:$A$200,D129)&gt;0,COUNTIF(FamilyList,E129)&gt;0,COUNTIF(NatureList,F129)&gt;0,COUNTIF(LifecycleList,G129)&gt;0,COUNTIF(SignificanceList,L129)&gt;0,COUNTIF(ConsumerList,M129)&gt;0),"PASS","CHECK"))</f>
        <v/>
      </c>
    </row>
    <row r="130">
      <c r="A130" s="10" t="n"/>
      <c r="B130" s="21" t="n"/>
      <c r="C130" s="10" t="n"/>
      <c r="D130" s="10" t="n"/>
      <c r="E130" s="10" t="n"/>
      <c r="F130" s="10" t="n"/>
      <c r="G130" s="10" t="n"/>
      <c r="H130" s="10" t="n"/>
      <c r="I130" s="10" t="n"/>
      <c r="J130" s="10" t="n"/>
      <c r="K130" s="10" t="n"/>
      <c r="L130" s="10" t="n"/>
      <c r="M130" s="10" t="n"/>
      <c r="N130" s="10" t="n"/>
      <c r="O130" s="10">
        <f>IF(A130="","",IF(AND(COUNTIF(EventTypeList,C130)&gt;0,COUNTIF('Artifact Registry'!$A$5:$A$200,D130)&gt;0,COUNTIF(FamilyList,E130)&gt;0,COUNTIF(NatureList,F130)&gt;0,COUNTIF(LifecycleList,G130)&gt;0,COUNTIF(SignificanceList,L130)&gt;0,COUNTIF(ConsumerList,M130)&gt;0),"PASS","CHECK"))</f>
        <v/>
      </c>
    </row>
    <row r="131">
      <c r="A131" s="10" t="n"/>
      <c r="B131" s="21" t="n"/>
      <c r="C131" s="10" t="n"/>
      <c r="D131" s="10" t="n"/>
      <c r="E131" s="10" t="n"/>
      <c r="F131" s="10" t="n"/>
      <c r="G131" s="10" t="n"/>
      <c r="H131" s="10" t="n"/>
      <c r="I131" s="10" t="n"/>
      <c r="J131" s="10" t="n"/>
      <c r="K131" s="10" t="n"/>
      <c r="L131" s="10" t="n"/>
      <c r="M131" s="10" t="n"/>
      <c r="N131" s="10" t="n"/>
      <c r="O131" s="10">
        <f>IF(A131="","",IF(AND(COUNTIF(EventTypeList,C131)&gt;0,COUNTIF('Artifact Registry'!$A$5:$A$200,D131)&gt;0,COUNTIF(FamilyList,E131)&gt;0,COUNTIF(NatureList,F131)&gt;0,COUNTIF(LifecycleList,G131)&gt;0,COUNTIF(SignificanceList,L131)&gt;0,COUNTIF(ConsumerList,M131)&gt;0),"PASS","CHECK"))</f>
        <v/>
      </c>
    </row>
    <row r="132">
      <c r="A132" s="10" t="n"/>
      <c r="B132" s="21" t="n"/>
      <c r="C132" s="10" t="n"/>
      <c r="D132" s="10" t="n"/>
      <c r="E132" s="10" t="n"/>
      <c r="F132" s="10" t="n"/>
      <c r="G132" s="10" t="n"/>
      <c r="H132" s="10" t="n"/>
      <c r="I132" s="10" t="n"/>
      <c r="J132" s="10" t="n"/>
      <c r="K132" s="10" t="n"/>
      <c r="L132" s="10" t="n"/>
      <c r="M132" s="10" t="n"/>
      <c r="N132" s="10" t="n"/>
      <c r="O132" s="10">
        <f>IF(A132="","",IF(AND(COUNTIF(EventTypeList,C132)&gt;0,COUNTIF('Artifact Registry'!$A$5:$A$200,D132)&gt;0,COUNTIF(FamilyList,E132)&gt;0,COUNTIF(NatureList,F132)&gt;0,COUNTIF(LifecycleList,G132)&gt;0,COUNTIF(SignificanceList,L132)&gt;0,COUNTIF(ConsumerList,M132)&gt;0),"PASS","CHECK"))</f>
        <v/>
      </c>
    </row>
    <row r="133">
      <c r="A133" s="10" t="n"/>
      <c r="B133" s="21" t="n"/>
      <c r="C133" s="10" t="n"/>
      <c r="D133" s="10" t="n"/>
      <c r="E133" s="10" t="n"/>
      <c r="F133" s="10" t="n"/>
      <c r="G133" s="10" t="n"/>
      <c r="H133" s="10" t="n"/>
      <c r="I133" s="10" t="n"/>
      <c r="J133" s="10" t="n"/>
      <c r="K133" s="10" t="n"/>
      <c r="L133" s="10" t="n"/>
      <c r="M133" s="10" t="n"/>
      <c r="N133" s="10" t="n"/>
      <c r="O133" s="10">
        <f>IF(A133="","",IF(AND(COUNTIF(EventTypeList,C133)&gt;0,COUNTIF('Artifact Registry'!$A$5:$A$200,D133)&gt;0,COUNTIF(FamilyList,E133)&gt;0,COUNTIF(NatureList,F133)&gt;0,COUNTIF(LifecycleList,G133)&gt;0,COUNTIF(SignificanceList,L133)&gt;0,COUNTIF(ConsumerList,M133)&gt;0),"PASS","CHECK"))</f>
        <v/>
      </c>
    </row>
    <row r="134">
      <c r="A134" s="10" t="n"/>
      <c r="B134" s="21" t="n"/>
      <c r="C134" s="10" t="n"/>
      <c r="D134" s="10" t="n"/>
      <c r="E134" s="10" t="n"/>
      <c r="F134" s="10" t="n"/>
      <c r="G134" s="10" t="n"/>
      <c r="H134" s="10" t="n"/>
      <c r="I134" s="10" t="n"/>
      <c r="J134" s="10" t="n"/>
      <c r="K134" s="10" t="n"/>
      <c r="L134" s="10" t="n"/>
      <c r="M134" s="10" t="n"/>
      <c r="N134" s="10" t="n"/>
      <c r="O134" s="10">
        <f>IF(A134="","",IF(AND(COUNTIF(EventTypeList,C134)&gt;0,COUNTIF('Artifact Registry'!$A$5:$A$200,D134)&gt;0,COUNTIF(FamilyList,E134)&gt;0,COUNTIF(NatureList,F134)&gt;0,COUNTIF(LifecycleList,G134)&gt;0,COUNTIF(SignificanceList,L134)&gt;0,COUNTIF(ConsumerList,M134)&gt;0),"PASS","CHECK"))</f>
        <v/>
      </c>
    </row>
    <row r="135">
      <c r="A135" s="10" t="n"/>
      <c r="B135" s="21" t="n"/>
      <c r="C135" s="10" t="n"/>
      <c r="D135" s="10" t="n"/>
      <c r="E135" s="10" t="n"/>
      <c r="F135" s="10" t="n"/>
      <c r="G135" s="10" t="n"/>
      <c r="H135" s="10" t="n"/>
      <c r="I135" s="10" t="n"/>
      <c r="J135" s="10" t="n"/>
      <c r="K135" s="10" t="n"/>
      <c r="L135" s="10" t="n"/>
      <c r="M135" s="10" t="n"/>
      <c r="N135" s="10" t="n"/>
      <c r="O135" s="10">
        <f>IF(A135="","",IF(AND(COUNTIF(EventTypeList,C135)&gt;0,COUNTIF('Artifact Registry'!$A$5:$A$200,D135)&gt;0,COUNTIF(FamilyList,E135)&gt;0,COUNTIF(NatureList,F135)&gt;0,COUNTIF(LifecycleList,G135)&gt;0,COUNTIF(SignificanceList,L135)&gt;0,COUNTIF(ConsumerList,M135)&gt;0),"PASS","CHECK"))</f>
        <v/>
      </c>
    </row>
    <row r="136">
      <c r="A136" s="10" t="n"/>
      <c r="B136" s="21" t="n"/>
      <c r="C136" s="10" t="n"/>
      <c r="D136" s="10" t="n"/>
      <c r="E136" s="10" t="n"/>
      <c r="F136" s="10" t="n"/>
      <c r="G136" s="10" t="n"/>
      <c r="H136" s="10" t="n"/>
      <c r="I136" s="10" t="n"/>
      <c r="J136" s="10" t="n"/>
      <c r="K136" s="10" t="n"/>
      <c r="L136" s="10" t="n"/>
      <c r="M136" s="10" t="n"/>
      <c r="N136" s="10" t="n"/>
      <c r="O136" s="10">
        <f>IF(A136="","",IF(AND(COUNTIF(EventTypeList,C136)&gt;0,COUNTIF('Artifact Registry'!$A$5:$A$200,D136)&gt;0,COUNTIF(FamilyList,E136)&gt;0,COUNTIF(NatureList,F136)&gt;0,COUNTIF(LifecycleList,G136)&gt;0,COUNTIF(SignificanceList,L136)&gt;0,COUNTIF(ConsumerList,M136)&gt;0),"PASS","CHECK"))</f>
        <v/>
      </c>
    </row>
    <row r="137">
      <c r="A137" s="10" t="n"/>
      <c r="B137" s="21" t="n"/>
      <c r="C137" s="10" t="n"/>
      <c r="D137" s="10" t="n"/>
      <c r="E137" s="10" t="n"/>
      <c r="F137" s="10" t="n"/>
      <c r="G137" s="10" t="n"/>
      <c r="H137" s="10" t="n"/>
      <c r="I137" s="10" t="n"/>
      <c r="J137" s="10" t="n"/>
      <c r="K137" s="10" t="n"/>
      <c r="L137" s="10" t="n"/>
      <c r="M137" s="10" t="n"/>
      <c r="N137" s="10" t="n"/>
      <c r="O137" s="10">
        <f>IF(A137="","",IF(AND(COUNTIF(EventTypeList,C137)&gt;0,COUNTIF('Artifact Registry'!$A$5:$A$200,D137)&gt;0,COUNTIF(FamilyList,E137)&gt;0,COUNTIF(NatureList,F137)&gt;0,COUNTIF(LifecycleList,G137)&gt;0,COUNTIF(SignificanceList,L137)&gt;0,COUNTIF(ConsumerList,M137)&gt;0),"PASS","CHECK"))</f>
        <v/>
      </c>
    </row>
    <row r="138">
      <c r="A138" s="10" t="n"/>
      <c r="B138" s="21" t="n"/>
      <c r="C138" s="10" t="n"/>
      <c r="D138" s="10" t="n"/>
      <c r="E138" s="10" t="n"/>
      <c r="F138" s="10" t="n"/>
      <c r="G138" s="10" t="n"/>
      <c r="H138" s="10" t="n"/>
      <c r="I138" s="10" t="n"/>
      <c r="J138" s="10" t="n"/>
      <c r="K138" s="10" t="n"/>
      <c r="L138" s="10" t="n"/>
      <c r="M138" s="10" t="n"/>
      <c r="N138" s="10" t="n"/>
      <c r="O138" s="10">
        <f>IF(A138="","",IF(AND(COUNTIF(EventTypeList,C138)&gt;0,COUNTIF('Artifact Registry'!$A$5:$A$200,D138)&gt;0,COUNTIF(FamilyList,E138)&gt;0,COUNTIF(NatureList,F138)&gt;0,COUNTIF(LifecycleList,G138)&gt;0,COUNTIF(SignificanceList,L138)&gt;0,COUNTIF(ConsumerList,M138)&gt;0),"PASS","CHECK"))</f>
        <v/>
      </c>
    </row>
    <row r="139">
      <c r="A139" s="10" t="n"/>
      <c r="B139" s="21" t="n"/>
      <c r="C139" s="10" t="n"/>
      <c r="D139" s="10" t="n"/>
      <c r="E139" s="10" t="n"/>
      <c r="F139" s="10" t="n"/>
      <c r="G139" s="10" t="n"/>
      <c r="H139" s="10" t="n"/>
      <c r="I139" s="10" t="n"/>
      <c r="J139" s="10" t="n"/>
      <c r="K139" s="10" t="n"/>
      <c r="L139" s="10" t="n"/>
      <c r="M139" s="10" t="n"/>
      <c r="N139" s="10" t="n"/>
      <c r="O139" s="10">
        <f>IF(A139="","",IF(AND(COUNTIF(EventTypeList,C139)&gt;0,COUNTIF('Artifact Registry'!$A$5:$A$200,D139)&gt;0,COUNTIF(FamilyList,E139)&gt;0,COUNTIF(NatureList,F139)&gt;0,COUNTIF(LifecycleList,G139)&gt;0,COUNTIF(SignificanceList,L139)&gt;0,COUNTIF(ConsumerList,M139)&gt;0),"PASS","CHECK"))</f>
        <v/>
      </c>
    </row>
    <row r="140">
      <c r="A140" s="10" t="n"/>
      <c r="B140" s="21" t="n"/>
      <c r="C140" s="10" t="n"/>
      <c r="D140" s="10" t="n"/>
      <c r="E140" s="10" t="n"/>
      <c r="F140" s="10" t="n"/>
      <c r="G140" s="10" t="n"/>
      <c r="H140" s="10" t="n"/>
      <c r="I140" s="10" t="n"/>
      <c r="J140" s="10" t="n"/>
      <c r="K140" s="10" t="n"/>
      <c r="L140" s="10" t="n"/>
      <c r="M140" s="10" t="n"/>
      <c r="N140" s="10" t="n"/>
      <c r="O140" s="10">
        <f>IF(A140="","",IF(AND(COUNTIF(EventTypeList,C140)&gt;0,COUNTIF('Artifact Registry'!$A$5:$A$200,D140)&gt;0,COUNTIF(FamilyList,E140)&gt;0,COUNTIF(NatureList,F140)&gt;0,COUNTIF(LifecycleList,G140)&gt;0,COUNTIF(SignificanceList,L140)&gt;0,COUNTIF(ConsumerList,M140)&gt;0),"PASS","CHECK"))</f>
        <v/>
      </c>
    </row>
    <row r="141">
      <c r="A141" s="10" t="n"/>
      <c r="B141" s="21" t="n"/>
      <c r="C141" s="10" t="n"/>
      <c r="D141" s="10" t="n"/>
      <c r="E141" s="10" t="n"/>
      <c r="F141" s="10" t="n"/>
      <c r="G141" s="10" t="n"/>
      <c r="H141" s="10" t="n"/>
      <c r="I141" s="10" t="n"/>
      <c r="J141" s="10" t="n"/>
      <c r="K141" s="10" t="n"/>
      <c r="L141" s="10" t="n"/>
      <c r="M141" s="10" t="n"/>
      <c r="N141" s="10" t="n"/>
      <c r="O141" s="10">
        <f>IF(A141="","",IF(AND(COUNTIF(EventTypeList,C141)&gt;0,COUNTIF('Artifact Registry'!$A$5:$A$200,D141)&gt;0,COUNTIF(FamilyList,E141)&gt;0,COUNTIF(NatureList,F141)&gt;0,COUNTIF(LifecycleList,G141)&gt;0,COUNTIF(SignificanceList,L141)&gt;0,COUNTIF(ConsumerList,M141)&gt;0),"PASS","CHECK"))</f>
        <v/>
      </c>
    </row>
    <row r="142">
      <c r="A142" s="10" t="n"/>
      <c r="B142" s="21" t="n"/>
      <c r="C142" s="10" t="n"/>
      <c r="D142" s="10" t="n"/>
      <c r="E142" s="10" t="n"/>
      <c r="F142" s="10" t="n"/>
      <c r="G142" s="10" t="n"/>
      <c r="H142" s="10" t="n"/>
      <c r="I142" s="10" t="n"/>
      <c r="J142" s="10" t="n"/>
      <c r="K142" s="10" t="n"/>
      <c r="L142" s="10" t="n"/>
      <c r="M142" s="10" t="n"/>
      <c r="N142" s="10" t="n"/>
      <c r="O142" s="10">
        <f>IF(A142="","",IF(AND(COUNTIF(EventTypeList,C142)&gt;0,COUNTIF('Artifact Registry'!$A$5:$A$200,D142)&gt;0,COUNTIF(FamilyList,E142)&gt;0,COUNTIF(NatureList,F142)&gt;0,COUNTIF(LifecycleList,G142)&gt;0,COUNTIF(SignificanceList,L142)&gt;0,COUNTIF(ConsumerList,M142)&gt;0),"PASS","CHECK"))</f>
        <v/>
      </c>
    </row>
    <row r="143">
      <c r="A143" s="10" t="n"/>
      <c r="B143" s="21" t="n"/>
      <c r="C143" s="10" t="n"/>
      <c r="D143" s="10" t="n"/>
      <c r="E143" s="10" t="n"/>
      <c r="F143" s="10" t="n"/>
      <c r="G143" s="10" t="n"/>
      <c r="H143" s="10" t="n"/>
      <c r="I143" s="10" t="n"/>
      <c r="J143" s="10" t="n"/>
      <c r="K143" s="10" t="n"/>
      <c r="L143" s="10" t="n"/>
      <c r="M143" s="10" t="n"/>
      <c r="N143" s="10" t="n"/>
      <c r="O143" s="10">
        <f>IF(A143="","",IF(AND(COUNTIF(EventTypeList,C143)&gt;0,COUNTIF('Artifact Registry'!$A$5:$A$200,D143)&gt;0,COUNTIF(FamilyList,E143)&gt;0,COUNTIF(NatureList,F143)&gt;0,COUNTIF(LifecycleList,G143)&gt;0,COUNTIF(SignificanceList,L143)&gt;0,COUNTIF(ConsumerList,M143)&gt;0),"PASS","CHECK"))</f>
        <v/>
      </c>
    </row>
    <row r="144">
      <c r="A144" s="10" t="n"/>
      <c r="B144" s="21" t="n"/>
      <c r="C144" s="10" t="n"/>
      <c r="D144" s="10" t="n"/>
      <c r="E144" s="10" t="n"/>
      <c r="F144" s="10" t="n"/>
      <c r="G144" s="10" t="n"/>
      <c r="H144" s="10" t="n"/>
      <c r="I144" s="10" t="n"/>
      <c r="J144" s="10" t="n"/>
      <c r="K144" s="10" t="n"/>
      <c r="L144" s="10" t="n"/>
      <c r="M144" s="10" t="n"/>
      <c r="N144" s="10" t="n"/>
      <c r="O144" s="10">
        <f>IF(A144="","",IF(AND(COUNTIF(EventTypeList,C144)&gt;0,COUNTIF('Artifact Registry'!$A$5:$A$200,D144)&gt;0,COUNTIF(FamilyList,E144)&gt;0,COUNTIF(NatureList,F144)&gt;0,COUNTIF(LifecycleList,G144)&gt;0,COUNTIF(SignificanceList,L144)&gt;0,COUNTIF(ConsumerList,M144)&gt;0),"PASS","CHECK"))</f>
        <v/>
      </c>
    </row>
    <row r="145">
      <c r="A145" s="10" t="n"/>
      <c r="B145" s="21" t="n"/>
      <c r="C145" s="10" t="n"/>
      <c r="D145" s="10" t="n"/>
      <c r="E145" s="10" t="n"/>
      <c r="F145" s="10" t="n"/>
      <c r="G145" s="10" t="n"/>
      <c r="H145" s="10" t="n"/>
      <c r="I145" s="10" t="n"/>
      <c r="J145" s="10" t="n"/>
      <c r="K145" s="10" t="n"/>
      <c r="L145" s="10" t="n"/>
      <c r="M145" s="10" t="n"/>
      <c r="N145" s="10" t="n"/>
      <c r="O145" s="10">
        <f>IF(A145="","",IF(AND(COUNTIF(EventTypeList,C145)&gt;0,COUNTIF('Artifact Registry'!$A$5:$A$200,D145)&gt;0,COUNTIF(FamilyList,E145)&gt;0,COUNTIF(NatureList,F145)&gt;0,COUNTIF(LifecycleList,G145)&gt;0,COUNTIF(SignificanceList,L145)&gt;0,COUNTIF(ConsumerList,M145)&gt;0),"PASS","CHECK"))</f>
        <v/>
      </c>
    </row>
    <row r="146">
      <c r="A146" s="10" t="n"/>
      <c r="B146" s="21" t="n"/>
      <c r="C146" s="10" t="n"/>
      <c r="D146" s="10" t="n"/>
      <c r="E146" s="10" t="n"/>
      <c r="F146" s="10" t="n"/>
      <c r="G146" s="10" t="n"/>
      <c r="H146" s="10" t="n"/>
      <c r="I146" s="10" t="n"/>
      <c r="J146" s="10" t="n"/>
      <c r="K146" s="10" t="n"/>
      <c r="L146" s="10" t="n"/>
      <c r="M146" s="10" t="n"/>
      <c r="N146" s="10" t="n"/>
      <c r="O146" s="10">
        <f>IF(A146="","",IF(AND(COUNTIF(EventTypeList,C146)&gt;0,COUNTIF('Artifact Registry'!$A$5:$A$200,D146)&gt;0,COUNTIF(FamilyList,E146)&gt;0,COUNTIF(NatureList,F146)&gt;0,COUNTIF(LifecycleList,G146)&gt;0,COUNTIF(SignificanceList,L146)&gt;0,COUNTIF(ConsumerList,M146)&gt;0),"PASS","CHECK"))</f>
        <v/>
      </c>
    </row>
    <row r="147">
      <c r="A147" s="10" t="n"/>
      <c r="B147" s="21" t="n"/>
      <c r="C147" s="10" t="n"/>
      <c r="D147" s="10" t="n"/>
      <c r="E147" s="10" t="n"/>
      <c r="F147" s="10" t="n"/>
      <c r="G147" s="10" t="n"/>
      <c r="H147" s="10" t="n"/>
      <c r="I147" s="10" t="n"/>
      <c r="J147" s="10" t="n"/>
      <c r="K147" s="10" t="n"/>
      <c r="L147" s="10" t="n"/>
      <c r="M147" s="10" t="n"/>
      <c r="N147" s="10" t="n"/>
      <c r="O147" s="10">
        <f>IF(A147="","",IF(AND(COUNTIF(EventTypeList,C147)&gt;0,COUNTIF('Artifact Registry'!$A$5:$A$200,D147)&gt;0,COUNTIF(FamilyList,E147)&gt;0,COUNTIF(NatureList,F147)&gt;0,COUNTIF(LifecycleList,G147)&gt;0,COUNTIF(SignificanceList,L147)&gt;0,COUNTIF(ConsumerList,M147)&gt;0),"PASS","CHECK"))</f>
        <v/>
      </c>
    </row>
    <row r="148">
      <c r="A148" s="10" t="n"/>
      <c r="B148" s="21" t="n"/>
      <c r="C148" s="10" t="n"/>
      <c r="D148" s="10" t="n"/>
      <c r="E148" s="10" t="n"/>
      <c r="F148" s="10" t="n"/>
      <c r="G148" s="10" t="n"/>
      <c r="H148" s="10" t="n"/>
      <c r="I148" s="10" t="n"/>
      <c r="J148" s="10" t="n"/>
      <c r="K148" s="10" t="n"/>
      <c r="L148" s="10" t="n"/>
      <c r="M148" s="10" t="n"/>
      <c r="N148" s="10" t="n"/>
      <c r="O148" s="10">
        <f>IF(A148="","",IF(AND(COUNTIF(EventTypeList,C148)&gt;0,COUNTIF('Artifact Registry'!$A$5:$A$200,D148)&gt;0,COUNTIF(FamilyList,E148)&gt;0,COUNTIF(NatureList,F148)&gt;0,COUNTIF(LifecycleList,G148)&gt;0,COUNTIF(SignificanceList,L148)&gt;0,COUNTIF(ConsumerList,M148)&gt;0),"PASS","CHECK"))</f>
        <v/>
      </c>
    </row>
    <row r="149">
      <c r="A149" s="10" t="n"/>
      <c r="B149" s="21" t="n"/>
      <c r="C149" s="10" t="n"/>
      <c r="D149" s="10" t="n"/>
      <c r="E149" s="10" t="n"/>
      <c r="F149" s="10" t="n"/>
      <c r="G149" s="10" t="n"/>
      <c r="H149" s="10" t="n"/>
      <c r="I149" s="10" t="n"/>
      <c r="J149" s="10" t="n"/>
      <c r="K149" s="10" t="n"/>
      <c r="L149" s="10" t="n"/>
      <c r="M149" s="10" t="n"/>
      <c r="N149" s="10" t="n"/>
      <c r="O149" s="10">
        <f>IF(A149="","",IF(AND(COUNTIF(EventTypeList,C149)&gt;0,COUNTIF('Artifact Registry'!$A$5:$A$200,D149)&gt;0,COUNTIF(FamilyList,E149)&gt;0,COUNTIF(NatureList,F149)&gt;0,COUNTIF(LifecycleList,G149)&gt;0,COUNTIF(SignificanceList,L149)&gt;0,COUNTIF(ConsumerList,M149)&gt;0),"PASS","CHECK"))</f>
        <v/>
      </c>
    </row>
    <row r="150">
      <c r="A150" s="10" t="n"/>
      <c r="B150" s="21" t="n"/>
      <c r="C150" s="10" t="n"/>
      <c r="D150" s="10" t="n"/>
      <c r="E150" s="10" t="n"/>
      <c r="F150" s="10" t="n"/>
      <c r="G150" s="10" t="n"/>
      <c r="H150" s="10" t="n"/>
      <c r="I150" s="10" t="n"/>
      <c r="J150" s="10" t="n"/>
      <c r="K150" s="10" t="n"/>
      <c r="L150" s="10" t="n"/>
      <c r="M150" s="10" t="n"/>
      <c r="N150" s="10" t="n"/>
      <c r="O150" s="10">
        <f>IF(A150="","",IF(AND(COUNTIF(EventTypeList,C150)&gt;0,COUNTIF('Artifact Registry'!$A$5:$A$200,D150)&gt;0,COUNTIF(FamilyList,E150)&gt;0,COUNTIF(NatureList,F150)&gt;0,COUNTIF(LifecycleList,G150)&gt;0,COUNTIF(SignificanceList,L150)&gt;0,COUNTIF(ConsumerList,M150)&gt;0),"PASS","CHECK"))</f>
        <v/>
      </c>
    </row>
    <row r="151">
      <c r="A151" s="10" t="n"/>
      <c r="B151" s="21" t="n"/>
      <c r="C151" s="10" t="n"/>
      <c r="D151" s="10" t="n"/>
      <c r="E151" s="10" t="n"/>
      <c r="F151" s="10" t="n"/>
      <c r="G151" s="10" t="n"/>
      <c r="H151" s="10" t="n"/>
      <c r="I151" s="10" t="n"/>
      <c r="J151" s="10" t="n"/>
      <c r="K151" s="10" t="n"/>
      <c r="L151" s="10" t="n"/>
      <c r="M151" s="10" t="n"/>
      <c r="N151" s="10" t="n"/>
      <c r="O151" s="10">
        <f>IF(A151="","",IF(AND(COUNTIF(EventTypeList,C151)&gt;0,COUNTIF('Artifact Registry'!$A$5:$A$200,D151)&gt;0,COUNTIF(FamilyList,E151)&gt;0,COUNTIF(NatureList,F151)&gt;0,COUNTIF(LifecycleList,G151)&gt;0,COUNTIF(SignificanceList,L151)&gt;0,COUNTIF(ConsumerList,M151)&gt;0),"PASS","CHECK"))</f>
        <v/>
      </c>
    </row>
    <row r="152">
      <c r="A152" s="10" t="n"/>
      <c r="B152" s="21" t="n"/>
      <c r="C152" s="10" t="n"/>
      <c r="D152" s="10" t="n"/>
      <c r="E152" s="10" t="n"/>
      <c r="F152" s="10" t="n"/>
      <c r="G152" s="10" t="n"/>
      <c r="H152" s="10" t="n"/>
      <c r="I152" s="10" t="n"/>
      <c r="J152" s="10" t="n"/>
      <c r="K152" s="10" t="n"/>
      <c r="L152" s="10" t="n"/>
      <c r="M152" s="10" t="n"/>
      <c r="N152" s="10" t="n"/>
      <c r="O152" s="10">
        <f>IF(A152="","",IF(AND(COUNTIF(EventTypeList,C152)&gt;0,COUNTIF('Artifact Registry'!$A$5:$A$200,D152)&gt;0,COUNTIF(FamilyList,E152)&gt;0,COUNTIF(NatureList,F152)&gt;0,COUNTIF(LifecycleList,G152)&gt;0,COUNTIF(SignificanceList,L152)&gt;0,COUNTIF(ConsumerList,M152)&gt;0),"PASS","CHECK"))</f>
        <v/>
      </c>
    </row>
    <row r="153">
      <c r="A153" s="10" t="n"/>
      <c r="B153" s="21" t="n"/>
      <c r="C153" s="10" t="n"/>
      <c r="D153" s="10" t="n"/>
      <c r="E153" s="10" t="n"/>
      <c r="F153" s="10" t="n"/>
      <c r="G153" s="10" t="n"/>
      <c r="H153" s="10" t="n"/>
      <c r="I153" s="10" t="n"/>
      <c r="J153" s="10" t="n"/>
      <c r="K153" s="10" t="n"/>
      <c r="L153" s="10" t="n"/>
      <c r="M153" s="10" t="n"/>
      <c r="N153" s="10" t="n"/>
      <c r="O153" s="10">
        <f>IF(A153="","",IF(AND(COUNTIF(EventTypeList,C153)&gt;0,COUNTIF('Artifact Registry'!$A$5:$A$200,D153)&gt;0,COUNTIF(FamilyList,E153)&gt;0,COUNTIF(NatureList,F153)&gt;0,COUNTIF(LifecycleList,G153)&gt;0,COUNTIF(SignificanceList,L153)&gt;0,COUNTIF(ConsumerList,M153)&gt;0),"PASS","CHECK"))</f>
        <v/>
      </c>
    </row>
    <row r="154">
      <c r="A154" s="10" t="n"/>
      <c r="B154" s="21" t="n"/>
      <c r="C154" s="10" t="n"/>
      <c r="D154" s="10" t="n"/>
      <c r="E154" s="10" t="n"/>
      <c r="F154" s="10" t="n"/>
      <c r="G154" s="10" t="n"/>
      <c r="H154" s="10" t="n"/>
      <c r="I154" s="10" t="n"/>
      <c r="J154" s="10" t="n"/>
      <c r="K154" s="10" t="n"/>
      <c r="L154" s="10" t="n"/>
      <c r="M154" s="10" t="n"/>
      <c r="N154" s="10" t="n"/>
      <c r="O154" s="10">
        <f>IF(A154="","",IF(AND(COUNTIF(EventTypeList,C154)&gt;0,COUNTIF('Artifact Registry'!$A$5:$A$200,D154)&gt;0,COUNTIF(FamilyList,E154)&gt;0,COUNTIF(NatureList,F154)&gt;0,COUNTIF(LifecycleList,G154)&gt;0,COUNTIF(SignificanceList,L154)&gt;0,COUNTIF(ConsumerList,M154)&gt;0),"PASS","CHECK"))</f>
        <v/>
      </c>
    </row>
    <row r="155">
      <c r="A155" s="10" t="n"/>
      <c r="B155" s="21" t="n"/>
      <c r="C155" s="10" t="n"/>
      <c r="D155" s="10" t="n"/>
      <c r="E155" s="10" t="n"/>
      <c r="F155" s="10" t="n"/>
      <c r="G155" s="10" t="n"/>
      <c r="H155" s="10" t="n"/>
      <c r="I155" s="10" t="n"/>
      <c r="J155" s="10" t="n"/>
      <c r="K155" s="10" t="n"/>
      <c r="L155" s="10" t="n"/>
      <c r="M155" s="10" t="n"/>
      <c r="N155" s="10" t="n"/>
      <c r="O155" s="10">
        <f>IF(A155="","",IF(AND(COUNTIF(EventTypeList,C155)&gt;0,COUNTIF('Artifact Registry'!$A$5:$A$200,D155)&gt;0,COUNTIF(FamilyList,E155)&gt;0,COUNTIF(NatureList,F155)&gt;0,COUNTIF(LifecycleList,G155)&gt;0,COUNTIF(SignificanceList,L155)&gt;0,COUNTIF(ConsumerList,M155)&gt;0),"PASS","CHECK"))</f>
        <v/>
      </c>
    </row>
    <row r="156">
      <c r="A156" s="10" t="n"/>
      <c r="B156" s="21" t="n"/>
      <c r="C156" s="10" t="n"/>
      <c r="D156" s="10" t="n"/>
      <c r="E156" s="10" t="n"/>
      <c r="F156" s="10" t="n"/>
      <c r="G156" s="10" t="n"/>
      <c r="H156" s="10" t="n"/>
      <c r="I156" s="10" t="n"/>
      <c r="J156" s="10" t="n"/>
      <c r="K156" s="10" t="n"/>
      <c r="L156" s="10" t="n"/>
      <c r="M156" s="10" t="n"/>
      <c r="N156" s="10" t="n"/>
      <c r="O156" s="10">
        <f>IF(A156="","",IF(AND(COUNTIF(EventTypeList,C156)&gt;0,COUNTIF('Artifact Registry'!$A$5:$A$200,D156)&gt;0,COUNTIF(FamilyList,E156)&gt;0,COUNTIF(NatureList,F156)&gt;0,COUNTIF(LifecycleList,G156)&gt;0,COUNTIF(SignificanceList,L156)&gt;0,COUNTIF(ConsumerList,M156)&gt;0),"PASS","CHECK"))</f>
        <v/>
      </c>
    </row>
    <row r="157">
      <c r="A157" s="10" t="n"/>
      <c r="B157" s="21" t="n"/>
      <c r="C157" s="10" t="n"/>
      <c r="D157" s="10" t="n"/>
      <c r="E157" s="10" t="n"/>
      <c r="F157" s="10" t="n"/>
      <c r="G157" s="10" t="n"/>
      <c r="H157" s="10" t="n"/>
      <c r="I157" s="10" t="n"/>
      <c r="J157" s="10" t="n"/>
      <c r="K157" s="10" t="n"/>
      <c r="L157" s="10" t="n"/>
      <c r="M157" s="10" t="n"/>
      <c r="N157" s="10" t="n"/>
      <c r="O157" s="10">
        <f>IF(A157="","",IF(AND(COUNTIF(EventTypeList,C157)&gt;0,COUNTIF('Artifact Registry'!$A$5:$A$200,D157)&gt;0,COUNTIF(FamilyList,E157)&gt;0,COUNTIF(NatureList,F157)&gt;0,COUNTIF(LifecycleList,G157)&gt;0,COUNTIF(SignificanceList,L157)&gt;0,COUNTIF(ConsumerList,M157)&gt;0),"PASS","CHECK"))</f>
        <v/>
      </c>
    </row>
    <row r="158">
      <c r="A158" s="10" t="n"/>
      <c r="B158" s="21" t="n"/>
      <c r="C158" s="10" t="n"/>
      <c r="D158" s="10" t="n"/>
      <c r="E158" s="10" t="n"/>
      <c r="F158" s="10" t="n"/>
      <c r="G158" s="10" t="n"/>
      <c r="H158" s="10" t="n"/>
      <c r="I158" s="10" t="n"/>
      <c r="J158" s="10" t="n"/>
      <c r="K158" s="10" t="n"/>
      <c r="L158" s="10" t="n"/>
      <c r="M158" s="10" t="n"/>
      <c r="N158" s="10" t="n"/>
      <c r="O158" s="10">
        <f>IF(A158="","",IF(AND(COUNTIF(EventTypeList,C158)&gt;0,COUNTIF('Artifact Registry'!$A$5:$A$200,D158)&gt;0,COUNTIF(FamilyList,E158)&gt;0,COUNTIF(NatureList,F158)&gt;0,COUNTIF(LifecycleList,G158)&gt;0,COUNTIF(SignificanceList,L158)&gt;0,COUNTIF(ConsumerList,M158)&gt;0),"PASS","CHECK"))</f>
        <v/>
      </c>
    </row>
    <row r="159">
      <c r="A159" s="10" t="n"/>
      <c r="B159" s="21" t="n"/>
      <c r="C159" s="10" t="n"/>
      <c r="D159" s="10" t="n"/>
      <c r="E159" s="10" t="n"/>
      <c r="F159" s="10" t="n"/>
      <c r="G159" s="10" t="n"/>
      <c r="H159" s="10" t="n"/>
      <c r="I159" s="10" t="n"/>
      <c r="J159" s="10" t="n"/>
      <c r="K159" s="10" t="n"/>
      <c r="L159" s="10" t="n"/>
      <c r="M159" s="10" t="n"/>
      <c r="N159" s="10" t="n"/>
      <c r="O159" s="10">
        <f>IF(A159="","",IF(AND(COUNTIF(EventTypeList,C159)&gt;0,COUNTIF('Artifact Registry'!$A$5:$A$200,D159)&gt;0,COUNTIF(FamilyList,E159)&gt;0,COUNTIF(NatureList,F159)&gt;0,COUNTIF(LifecycleList,G159)&gt;0,COUNTIF(SignificanceList,L159)&gt;0,COUNTIF(ConsumerList,M159)&gt;0),"PASS","CHECK"))</f>
        <v/>
      </c>
    </row>
    <row r="160">
      <c r="A160" s="10" t="n"/>
      <c r="B160" s="21" t="n"/>
      <c r="C160" s="10" t="n"/>
      <c r="D160" s="10" t="n"/>
      <c r="E160" s="10" t="n"/>
      <c r="F160" s="10" t="n"/>
      <c r="G160" s="10" t="n"/>
      <c r="H160" s="10" t="n"/>
      <c r="I160" s="10" t="n"/>
      <c r="J160" s="10" t="n"/>
      <c r="K160" s="10" t="n"/>
      <c r="L160" s="10" t="n"/>
      <c r="M160" s="10" t="n"/>
      <c r="N160" s="10" t="n"/>
      <c r="O160" s="10">
        <f>IF(A160="","",IF(AND(COUNTIF(EventTypeList,C160)&gt;0,COUNTIF('Artifact Registry'!$A$5:$A$200,D160)&gt;0,COUNTIF(FamilyList,E160)&gt;0,COUNTIF(NatureList,F160)&gt;0,COUNTIF(LifecycleList,G160)&gt;0,COUNTIF(SignificanceList,L160)&gt;0,COUNTIF(ConsumerList,M160)&gt;0),"PASS","CHECK"))</f>
        <v/>
      </c>
    </row>
    <row r="161">
      <c r="A161" s="10" t="n"/>
      <c r="B161" s="21" t="n"/>
      <c r="C161" s="10" t="n"/>
      <c r="D161" s="10" t="n"/>
      <c r="E161" s="10" t="n"/>
      <c r="F161" s="10" t="n"/>
      <c r="G161" s="10" t="n"/>
      <c r="H161" s="10" t="n"/>
      <c r="I161" s="10" t="n"/>
      <c r="J161" s="10" t="n"/>
      <c r="K161" s="10" t="n"/>
      <c r="L161" s="10" t="n"/>
      <c r="M161" s="10" t="n"/>
      <c r="N161" s="10" t="n"/>
      <c r="O161" s="10">
        <f>IF(A161="","",IF(AND(COUNTIF(EventTypeList,C161)&gt;0,COUNTIF('Artifact Registry'!$A$5:$A$200,D161)&gt;0,COUNTIF(FamilyList,E161)&gt;0,COUNTIF(NatureList,F161)&gt;0,COUNTIF(LifecycleList,G161)&gt;0,COUNTIF(SignificanceList,L161)&gt;0,COUNTIF(ConsumerList,M161)&gt;0),"PASS","CHECK"))</f>
        <v/>
      </c>
    </row>
    <row r="162">
      <c r="A162" s="10" t="n"/>
      <c r="B162" s="21" t="n"/>
      <c r="C162" s="10" t="n"/>
      <c r="D162" s="10" t="n"/>
      <c r="E162" s="10" t="n"/>
      <c r="F162" s="10" t="n"/>
      <c r="G162" s="10" t="n"/>
      <c r="H162" s="10" t="n"/>
      <c r="I162" s="10" t="n"/>
      <c r="J162" s="10" t="n"/>
      <c r="K162" s="10" t="n"/>
      <c r="L162" s="10" t="n"/>
      <c r="M162" s="10" t="n"/>
      <c r="N162" s="10" t="n"/>
      <c r="O162" s="10">
        <f>IF(A162="","",IF(AND(COUNTIF(EventTypeList,C162)&gt;0,COUNTIF('Artifact Registry'!$A$5:$A$200,D162)&gt;0,COUNTIF(FamilyList,E162)&gt;0,COUNTIF(NatureList,F162)&gt;0,COUNTIF(LifecycleList,G162)&gt;0,COUNTIF(SignificanceList,L162)&gt;0,COUNTIF(ConsumerList,M162)&gt;0),"PASS","CHECK"))</f>
        <v/>
      </c>
    </row>
    <row r="163">
      <c r="A163" s="10" t="n"/>
      <c r="B163" s="21" t="n"/>
      <c r="C163" s="10" t="n"/>
      <c r="D163" s="10" t="n"/>
      <c r="E163" s="10" t="n"/>
      <c r="F163" s="10" t="n"/>
      <c r="G163" s="10" t="n"/>
      <c r="H163" s="10" t="n"/>
      <c r="I163" s="10" t="n"/>
      <c r="J163" s="10" t="n"/>
      <c r="K163" s="10" t="n"/>
      <c r="L163" s="10" t="n"/>
      <c r="M163" s="10" t="n"/>
      <c r="N163" s="10" t="n"/>
      <c r="O163" s="10">
        <f>IF(A163="","",IF(AND(COUNTIF(EventTypeList,C163)&gt;0,COUNTIF('Artifact Registry'!$A$5:$A$200,D163)&gt;0,COUNTIF(FamilyList,E163)&gt;0,COUNTIF(NatureList,F163)&gt;0,COUNTIF(LifecycleList,G163)&gt;0,COUNTIF(SignificanceList,L163)&gt;0,COUNTIF(ConsumerList,M163)&gt;0),"PASS","CHECK"))</f>
        <v/>
      </c>
    </row>
    <row r="164">
      <c r="A164" s="10" t="n"/>
      <c r="B164" s="21" t="n"/>
      <c r="C164" s="10" t="n"/>
      <c r="D164" s="10" t="n"/>
      <c r="E164" s="10" t="n"/>
      <c r="F164" s="10" t="n"/>
      <c r="G164" s="10" t="n"/>
      <c r="H164" s="10" t="n"/>
      <c r="I164" s="10" t="n"/>
      <c r="J164" s="10" t="n"/>
      <c r="K164" s="10" t="n"/>
      <c r="L164" s="10" t="n"/>
      <c r="M164" s="10" t="n"/>
      <c r="N164" s="10" t="n"/>
      <c r="O164" s="10">
        <f>IF(A164="","",IF(AND(COUNTIF(EventTypeList,C164)&gt;0,COUNTIF('Artifact Registry'!$A$5:$A$200,D164)&gt;0,COUNTIF(FamilyList,E164)&gt;0,COUNTIF(NatureList,F164)&gt;0,COUNTIF(LifecycleList,G164)&gt;0,COUNTIF(SignificanceList,L164)&gt;0,COUNTIF(ConsumerList,M164)&gt;0),"PASS","CHECK"))</f>
        <v/>
      </c>
    </row>
    <row r="165">
      <c r="A165" s="10" t="n"/>
      <c r="B165" s="21" t="n"/>
      <c r="C165" s="10" t="n"/>
      <c r="D165" s="10" t="n"/>
      <c r="E165" s="10" t="n"/>
      <c r="F165" s="10" t="n"/>
      <c r="G165" s="10" t="n"/>
      <c r="H165" s="10" t="n"/>
      <c r="I165" s="10" t="n"/>
      <c r="J165" s="10" t="n"/>
      <c r="K165" s="10" t="n"/>
      <c r="L165" s="10" t="n"/>
      <c r="M165" s="10" t="n"/>
      <c r="N165" s="10" t="n"/>
      <c r="O165" s="10">
        <f>IF(A165="","",IF(AND(COUNTIF(EventTypeList,C165)&gt;0,COUNTIF('Artifact Registry'!$A$5:$A$200,D165)&gt;0,COUNTIF(FamilyList,E165)&gt;0,COUNTIF(NatureList,F165)&gt;0,COUNTIF(LifecycleList,G165)&gt;0,COUNTIF(SignificanceList,L165)&gt;0,COUNTIF(ConsumerList,M165)&gt;0),"PASS","CHECK"))</f>
        <v/>
      </c>
    </row>
    <row r="166">
      <c r="A166" s="10" t="n"/>
      <c r="B166" s="21" t="n"/>
      <c r="C166" s="10" t="n"/>
      <c r="D166" s="10" t="n"/>
      <c r="E166" s="10" t="n"/>
      <c r="F166" s="10" t="n"/>
      <c r="G166" s="10" t="n"/>
      <c r="H166" s="10" t="n"/>
      <c r="I166" s="10" t="n"/>
      <c r="J166" s="10" t="n"/>
      <c r="K166" s="10" t="n"/>
      <c r="L166" s="10" t="n"/>
      <c r="M166" s="10" t="n"/>
      <c r="N166" s="10" t="n"/>
      <c r="O166" s="10">
        <f>IF(A166="","",IF(AND(COUNTIF(EventTypeList,C166)&gt;0,COUNTIF('Artifact Registry'!$A$5:$A$200,D166)&gt;0,COUNTIF(FamilyList,E166)&gt;0,COUNTIF(NatureList,F166)&gt;0,COUNTIF(LifecycleList,G166)&gt;0,COUNTIF(SignificanceList,L166)&gt;0,COUNTIF(ConsumerList,M166)&gt;0),"PASS","CHECK"))</f>
        <v/>
      </c>
    </row>
    <row r="167">
      <c r="A167" s="10" t="n"/>
      <c r="B167" s="21" t="n"/>
      <c r="C167" s="10" t="n"/>
      <c r="D167" s="10" t="n"/>
      <c r="E167" s="10" t="n"/>
      <c r="F167" s="10" t="n"/>
      <c r="G167" s="10" t="n"/>
      <c r="H167" s="10" t="n"/>
      <c r="I167" s="10" t="n"/>
      <c r="J167" s="10" t="n"/>
      <c r="K167" s="10" t="n"/>
      <c r="L167" s="10" t="n"/>
      <c r="M167" s="10" t="n"/>
      <c r="N167" s="10" t="n"/>
      <c r="O167" s="10">
        <f>IF(A167="","",IF(AND(COUNTIF(EventTypeList,C167)&gt;0,COUNTIF('Artifact Registry'!$A$5:$A$200,D167)&gt;0,COUNTIF(FamilyList,E167)&gt;0,COUNTIF(NatureList,F167)&gt;0,COUNTIF(LifecycleList,G167)&gt;0,COUNTIF(SignificanceList,L167)&gt;0,COUNTIF(ConsumerList,M167)&gt;0),"PASS","CHECK"))</f>
        <v/>
      </c>
    </row>
    <row r="168">
      <c r="A168" s="10" t="n"/>
      <c r="B168" s="21" t="n"/>
      <c r="C168" s="10" t="n"/>
      <c r="D168" s="10" t="n"/>
      <c r="E168" s="10" t="n"/>
      <c r="F168" s="10" t="n"/>
      <c r="G168" s="10" t="n"/>
      <c r="H168" s="10" t="n"/>
      <c r="I168" s="10" t="n"/>
      <c r="J168" s="10" t="n"/>
      <c r="K168" s="10" t="n"/>
      <c r="L168" s="10" t="n"/>
      <c r="M168" s="10" t="n"/>
      <c r="N168" s="10" t="n"/>
      <c r="O168" s="10">
        <f>IF(A168="","",IF(AND(COUNTIF(EventTypeList,C168)&gt;0,COUNTIF('Artifact Registry'!$A$5:$A$200,D168)&gt;0,COUNTIF(FamilyList,E168)&gt;0,COUNTIF(NatureList,F168)&gt;0,COUNTIF(LifecycleList,G168)&gt;0,COUNTIF(SignificanceList,L168)&gt;0,COUNTIF(ConsumerList,M168)&gt;0),"PASS","CHECK"))</f>
        <v/>
      </c>
    </row>
    <row r="169">
      <c r="A169" s="10" t="n"/>
      <c r="B169" s="21" t="n"/>
      <c r="C169" s="10" t="n"/>
      <c r="D169" s="10" t="n"/>
      <c r="E169" s="10" t="n"/>
      <c r="F169" s="10" t="n"/>
      <c r="G169" s="10" t="n"/>
      <c r="H169" s="10" t="n"/>
      <c r="I169" s="10" t="n"/>
      <c r="J169" s="10" t="n"/>
      <c r="K169" s="10" t="n"/>
      <c r="L169" s="10" t="n"/>
      <c r="M169" s="10" t="n"/>
      <c r="N169" s="10" t="n"/>
      <c r="O169" s="10">
        <f>IF(A169="","",IF(AND(COUNTIF(EventTypeList,C169)&gt;0,COUNTIF('Artifact Registry'!$A$5:$A$200,D169)&gt;0,COUNTIF(FamilyList,E169)&gt;0,COUNTIF(NatureList,F169)&gt;0,COUNTIF(LifecycleList,G169)&gt;0,COUNTIF(SignificanceList,L169)&gt;0,COUNTIF(ConsumerList,M169)&gt;0),"PASS","CHECK"))</f>
        <v/>
      </c>
    </row>
    <row r="170">
      <c r="A170" s="10" t="n"/>
      <c r="B170" s="21" t="n"/>
      <c r="C170" s="10" t="n"/>
      <c r="D170" s="10" t="n"/>
      <c r="E170" s="10" t="n"/>
      <c r="F170" s="10" t="n"/>
      <c r="G170" s="10" t="n"/>
      <c r="H170" s="10" t="n"/>
      <c r="I170" s="10" t="n"/>
      <c r="J170" s="10" t="n"/>
      <c r="K170" s="10" t="n"/>
      <c r="L170" s="10" t="n"/>
      <c r="M170" s="10" t="n"/>
      <c r="N170" s="10" t="n"/>
      <c r="O170" s="10">
        <f>IF(A170="","",IF(AND(COUNTIF(EventTypeList,C170)&gt;0,COUNTIF('Artifact Registry'!$A$5:$A$200,D170)&gt;0,COUNTIF(FamilyList,E170)&gt;0,COUNTIF(NatureList,F170)&gt;0,COUNTIF(LifecycleList,G170)&gt;0,COUNTIF(SignificanceList,L170)&gt;0,COUNTIF(ConsumerList,M170)&gt;0),"PASS","CHECK"))</f>
        <v/>
      </c>
    </row>
    <row r="171">
      <c r="A171" s="10" t="n"/>
      <c r="B171" s="21" t="n"/>
      <c r="C171" s="10" t="n"/>
      <c r="D171" s="10" t="n"/>
      <c r="E171" s="10" t="n"/>
      <c r="F171" s="10" t="n"/>
      <c r="G171" s="10" t="n"/>
      <c r="H171" s="10" t="n"/>
      <c r="I171" s="10" t="n"/>
      <c r="J171" s="10" t="n"/>
      <c r="K171" s="10" t="n"/>
      <c r="L171" s="10" t="n"/>
      <c r="M171" s="10" t="n"/>
      <c r="N171" s="10" t="n"/>
      <c r="O171" s="10">
        <f>IF(A171="","",IF(AND(COUNTIF(EventTypeList,C171)&gt;0,COUNTIF('Artifact Registry'!$A$5:$A$200,D171)&gt;0,COUNTIF(FamilyList,E171)&gt;0,COUNTIF(NatureList,F171)&gt;0,COUNTIF(LifecycleList,G171)&gt;0,COUNTIF(SignificanceList,L171)&gt;0,COUNTIF(ConsumerList,M171)&gt;0),"PASS","CHECK"))</f>
        <v/>
      </c>
    </row>
    <row r="172">
      <c r="A172" s="10" t="n"/>
      <c r="B172" s="21" t="n"/>
      <c r="C172" s="10" t="n"/>
      <c r="D172" s="10" t="n"/>
      <c r="E172" s="10" t="n"/>
      <c r="F172" s="10" t="n"/>
      <c r="G172" s="10" t="n"/>
      <c r="H172" s="10" t="n"/>
      <c r="I172" s="10" t="n"/>
      <c r="J172" s="10" t="n"/>
      <c r="K172" s="10" t="n"/>
      <c r="L172" s="10" t="n"/>
      <c r="M172" s="10" t="n"/>
      <c r="N172" s="10" t="n"/>
      <c r="O172" s="10">
        <f>IF(A172="","",IF(AND(COUNTIF(EventTypeList,C172)&gt;0,COUNTIF('Artifact Registry'!$A$5:$A$200,D172)&gt;0,COUNTIF(FamilyList,E172)&gt;0,COUNTIF(NatureList,F172)&gt;0,COUNTIF(LifecycleList,G172)&gt;0,COUNTIF(SignificanceList,L172)&gt;0,COUNTIF(ConsumerList,M172)&gt;0),"PASS","CHECK"))</f>
        <v/>
      </c>
    </row>
    <row r="173">
      <c r="A173" s="10" t="n"/>
      <c r="B173" s="21" t="n"/>
      <c r="C173" s="10" t="n"/>
      <c r="D173" s="10" t="n"/>
      <c r="E173" s="10" t="n"/>
      <c r="F173" s="10" t="n"/>
      <c r="G173" s="10" t="n"/>
      <c r="H173" s="10" t="n"/>
      <c r="I173" s="10" t="n"/>
      <c r="J173" s="10" t="n"/>
      <c r="K173" s="10" t="n"/>
      <c r="L173" s="10" t="n"/>
      <c r="M173" s="10" t="n"/>
      <c r="N173" s="10" t="n"/>
      <c r="O173" s="10">
        <f>IF(A173="","",IF(AND(COUNTIF(EventTypeList,C173)&gt;0,COUNTIF('Artifact Registry'!$A$5:$A$200,D173)&gt;0,COUNTIF(FamilyList,E173)&gt;0,COUNTIF(NatureList,F173)&gt;0,COUNTIF(LifecycleList,G173)&gt;0,COUNTIF(SignificanceList,L173)&gt;0,COUNTIF(ConsumerList,M173)&gt;0),"PASS","CHECK"))</f>
        <v/>
      </c>
    </row>
    <row r="174">
      <c r="A174" s="10" t="n"/>
      <c r="B174" s="21" t="n"/>
      <c r="C174" s="10" t="n"/>
      <c r="D174" s="10" t="n"/>
      <c r="E174" s="10" t="n"/>
      <c r="F174" s="10" t="n"/>
      <c r="G174" s="10" t="n"/>
      <c r="H174" s="10" t="n"/>
      <c r="I174" s="10" t="n"/>
      <c r="J174" s="10" t="n"/>
      <c r="K174" s="10" t="n"/>
      <c r="L174" s="10" t="n"/>
      <c r="M174" s="10" t="n"/>
      <c r="N174" s="10" t="n"/>
      <c r="O174" s="10">
        <f>IF(A174="","",IF(AND(COUNTIF(EventTypeList,C174)&gt;0,COUNTIF('Artifact Registry'!$A$5:$A$200,D174)&gt;0,COUNTIF(FamilyList,E174)&gt;0,COUNTIF(NatureList,F174)&gt;0,COUNTIF(LifecycleList,G174)&gt;0,COUNTIF(SignificanceList,L174)&gt;0,COUNTIF(ConsumerList,M174)&gt;0),"PASS","CHECK"))</f>
        <v/>
      </c>
    </row>
    <row r="175">
      <c r="A175" s="10" t="n"/>
      <c r="B175" s="21" t="n"/>
      <c r="C175" s="10" t="n"/>
      <c r="D175" s="10" t="n"/>
      <c r="E175" s="10" t="n"/>
      <c r="F175" s="10" t="n"/>
      <c r="G175" s="10" t="n"/>
      <c r="H175" s="10" t="n"/>
      <c r="I175" s="10" t="n"/>
      <c r="J175" s="10" t="n"/>
      <c r="K175" s="10" t="n"/>
      <c r="L175" s="10" t="n"/>
      <c r="M175" s="10" t="n"/>
      <c r="N175" s="10" t="n"/>
      <c r="O175" s="10">
        <f>IF(A175="","",IF(AND(COUNTIF(EventTypeList,C175)&gt;0,COUNTIF('Artifact Registry'!$A$5:$A$200,D175)&gt;0,COUNTIF(FamilyList,E175)&gt;0,COUNTIF(NatureList,F175)&gt;0,COUNTIF(LifecycleList,G175)&gt;0,COUNTIF(SignificanceList,L175)&gt;0,COUNTIF(ConsumerList,M175)&gt;0),"PASS","CHECK"))</f>
        <v/>
      </c>
    </row>
    <row r="176">
      <c r="A176" s="10" t="n"/>
      <c r="B176" s="21" t="n"/>
      <c r="C176" s="10" t="n"/>
      <c r="D176" s="10" t="n"/>
      <c r="E176" s="10" t="n"/>
      <c r="F176" s="10" t="n"/>
      <c r="G176" s="10" t="n"/>
      <c r="H176" s="10" t="n"/>
      <c r="I176" s="10" t="n"/>
      <c r="J176" s="10" t="n"/>
      <c r="K176" s="10" t="n"/>
      <c r="L176" s="10" t="n"/>
      <c r="M176" s="10" t="n"/>
      <c r="N176" s="10" t="n"/>
      <c r="O176" s="10">
        <f>IF(A176="","",IF(AND(COUNTIF(EventTypeList,C176)&gt;0,COUNTIF('Artifact Registry'!$A$5:$A$200,D176)&gt;0,COUNTIF(FamilyList,E176)&gt;0,COUNTIF(NatureList,F176)&gt;0,COUNTIF(LifecycleList,G176)&gt;0,COUNTIF(SignificanceList,L176)&gt;0,COUNTIF(ConsumerList,M176)&gt;0),"PASS","CHECK"))</f>
        <v/>
      </c>
    </row>
    <row r="177">
      <c r="A177" s="10" t="n"/>
      <c r="B177" s="21" t="n"/>
      <c r="C177" s="10" t="n"/>
      <c r="D177" s="10" t="n"/>
      <c r="E177" s="10" t="n"/>
      <c r="F177" s="10" t="n"/>
      <c r="G177" s="10" t="n"/>
      <c r="H177" s="10" t="n"/>
      <c r="I177" s="10" t="n"/>
      <c r="J177" s="10" t="n"/>
      <c r="K177" s="10" t="n"/>
      <c r="L177" s="10" t="n"/>
      <c r="M177" s="10" t="n"/>
      <c r="N177" s="10" t="n"/>
      <c r="O177" s="10">
        <f>IF(A177="","",IF(AND(COUNTIF(EventTypeList,C177)&gt;0,COUNTIF('Artifact Registry'!$A$5:$A$200,D177)&gt;0,COUNTIF(FamilyList,E177)&gt;0,COUNTIF(NatureList,F177)&gt;0,COUNTIF(LifecycleList,G177)&gt;0,COUNTIF(SignificanceList,L177)&gt;0,COUNTIF(ConsumerList,M177)&gt;0),"PASS","CHECK"))</f>
        <v/>
      </c>
    </row>
    <row r="178">
      <c r="A178" s="10" t="n"/>
      <c r="B178" s="21" t="n"/>
      <c r="C178" s="10" t="n"/>
      <c r="D178" s="10" t="n"/>
      <c r="E178" s="10" t="n"/>
      <c r="F178" s="10" t="n"/>
      <c r="G178" s="10" t="n"/>
      <c r="H178" s="10" t="n"/>
      <c r="I178" s="10" t="n"/>
      <c r="J178" s="10" t="n"/>
      <c r="K178" s="10" t="n"/>
      <c r="L178" s="10" t="n"/>
      <c r="M178" s="10" t="n"/>
      <c r="N178" s="10" t="n"/>
      <c r="O178" s="10">
        <f>IF(A178="","",IF(AND(COUNTIF(EventTypeList,C178)&gt;0,COUNTIF('Artifact Registry'!$A$5:$A$200,D178)&gt;0,COUNTIF(FamilyList,E178)&gt;0,COUNTIF(NatureList,F178)&gt;0,COUNTIF(LifecycleList,G178)&gt;0,COUNTIF(SignificanceList,L178)&gt;0,COUNTIF(ConsumerList,M178)&gt;0),"PASS","CHECK"))</f>
        <v/>
      </c>
    </row>
    <row r="179">
      <c r="A179" s="10" t="n"/>
      <c r="B179" s="21" t="n"/>
      <c r="C179" s="10" t="n"/>
      <c r="D179" s="10" t="n"/>
      <c r="E179" s="10" t="n"/>
      <c r="F179" s="10" t="n"/>
      <c r="G179" s="10" t="n"/>
      <c r="H179" s="10" t="n"/>
      <c r="I179" s="10" t="n"/>
      <c r="J179" s="10" t="n"/>
      <c r="K179" s="10" t="n"/>
      <c r="L179" s="10" t="n"/>
      <c r="M179" s="10" t="n"/>
      <c r="N179" s="10" t="n"/>
      <c r="O179" s="10">
        <f>IF(A179="","",IF(AND(COUNTIF(EventTypeList,C179)&gt;0,COUNTIF('Artifact Registry'!$A$5:$A$200,D179)&gt;0,COUNTIF(FamilyList,E179)&gt;0,COUNTIF(NatureList,F179)&gt;0,COUNTIF(LifecycleList,G179)&gt;0,COUNTIF(SignificanceList,L179)&gt;0,COUNTIF(ConsumerList,M179)&gt;0),"PASS","CHECK"))</f>
        <v/>
      </c>
    </row>
    <row r="180">
      <c r="A180" s="10" t="n"/>
      <c r="B180" s="21" t="n"/>
      <c r="C180" s="10" t="n"/>
      <c r="D180" s="10" t="n"/>
      <c r="E180" s="10" t="n"/>
      <c r="F180" s="10" t="n"/>
      <c r="G180" s="10" t="n"/>
      <c r="H180" s="10" t="n"/>
      <c r="I180" s="10" t="n"/>
      <c r="J180" s="10" t="n"/>
      <c r="K180" s="10" t="n"/>
      <c r="L180" s="10" t="n"/>
      <c r="M180" s="10" t="n"/>
      <c r="N180" s="10" t="n"/>
      <c r="O180" s="10">
        <f>IF(A180="","",IF(AND(COUNTIF(EventTypeList,C180)&gt;0,COUNTIF('Artifact Registry'!$A$5:$A$200,D180)&gt;0,COUNTIF(FamilyList,E180)&gt;0,COUNTIF(NatureList,F180)&gt;0,COUNTIF(LifecycleList,G180)&gt;0,COUNTIF(SignificanceList,L180)&gt;0,COUNTIF(ConsumerList,M180)&gt;0),"PASS","CHECK"))</f>
        <v/>
      </c>
    </row>
    <row r="181">
      <c r="A181" s="10" t="n"/>
      <c r="B181" s="21" t="n"/>
      <c r="C181" s="10" t="n"/>
      <c r="D181" s="10" t="n"/>
      <c r="E181" s="10" t="n"/>
      <c r="F181" s="10" t="n"/>
      <c r="G181" s="10" t="n"/>
      <c r="H181" s="10" t="n"/>
      <c r="I181" s="10" t="n"/>
      <c r="J181" s="10" t="n"/>
      <c r="K181" s="10" t="n"/>
      <c r="L181" s="10" t="n"/>
      <c r="M181" s="10" t="n"/>
      <c r="N181" s="10" t="n"/>
      <c r="O181" s="10">
        <f>IF(A181="","",IF(AND(COUNTIF(EventTypeList,C181)&gt;0,COUNTIF('Artifact Registry'!$A$5:$A$200,D181)&gt;0,COUNTIF(FamilyList,E181)&gt;0,COUNTIF(NatureList,F181)&gt;0,COUNTIF(LifecycleList,G181)&gt;0,COUNTIF(SignificanceList,L181)&gt;0,COUNTIF(ConsumerList,M181)&gt;0),"PASS","CHECK"))</f>
        <v/>
      </c>
    </row>
    <row r="182">
      <c r="A182" s="10" t="n"/>
      <c r="B182" s="21" t="n"/>
      <c r="C182" s="10" t="n"/>
      <c r="D182" s="10" t="n"/>
      <c r="E182" s="10" t="n"/>
      <c r="F182" s="10" t="n"/>
      <c r="G182" s="10" t="n"/>
      <c r="H182" s="10" t="n"/>
      <c r="I182" s="10" t="n"/>
      <c r="J182" s="10" t="n"/>
      <c r="K182" s="10" t="n"/>
      <c r="L182" s="10" t="n"/>
      <c r="M182" s="10" t="n"/>
      <c r="N182" s="10" t="n"/>
      <c r="O182" s="10">
        <f>IF(A182="","",IF(AND(COUNTIF(EventTypeList,C182)&gt;0,COUNTIF('Artifact Registry'!$A$5:$A$200,D182)&gt;0,COUNTIF(FamilyList,E182)&gt;0,COUNTIF(NatureList,F182)&gt;0,COUNTIF(LifecycleList,G182)&gt;0,COUNTIF(SignificanceList,L182)&gt;0,COUNTIF(ConsumerList,M182)&gt;0),"PASS","CHECK"))</f>
        <v/>
      </c>
    </row>
    <row r="183">
      <c r="A183" s="10" t="n"/>
      <c r="B183" s="21" t="n"/>
      <c r="C183" s="10" t="n"/>
      <c r="D183" s="10" t="n"/>
      <c r="E183" s="10" t="n"/>
      <c r="F183" s="10" t="n"/>
      <c r="G183" s="10" t="n"/>
      <c r="H183" s="10" t="n"/>
      <c r="I183" s="10" t="n"/>
      <c r="J183" s="10" t="n"/>
      <c r="K183" s="10" t="n"/>
      <c r="L183" s="10" t="n"/>
      <c r="M183" s="10" t="n"/>
      <c r="N183" s="10" t="n"/>
      <c r="O183" s="10">
        <f>IF(A183="","",IF(AND(COUNTIF(EventTypeList,C183)&gt;0,COUNTIF('Artifact Registry'!$A$5:$A$200,D183)&gt;0,COUNTIF(FamilyList,E183)&gt;0,COUNTIF(NatureList,F183)&gt;0,COUNTIF(LifecycleList,G183)&gt;0,COUNTIF(SignificanceList,L183)&gt;0,COUNTIF(ConsumerList,M183)&gt;0),"PASS","CHECK"))</f>
        <v/>
      </c>
    </row>
    <row r="184">
      <c r="A184" s="10" t="n"/>
      <c r="B184" s="21" t="n"/>
      <c r="C184" s="10" t="n"/>
      <c r="D184" s="10" t="n"/>
      <c r="E184" s="10" t="n"/>
      <c r="F184" s="10" t="n"/>
      <c r="G184" s="10" t="n"/>
      <c r="H184" s="10" t="n"/>
      <c r="I184" s="10" t="n"/>
      <c r="J184" s="10" t="n"/>
      <c r="K184" s="10" t="n"/>
      <c r="L184" s="10" t="n"/>
      <c r="M184" s="10" t="n"/>
      <c r="N184" s="10" t="n"/>
      <c r="O184" s="10">
        <f>IF(A184="","",IF(AND(COUNTIF(EventTypeList,C184)&gt;0,COUNTIF('Artifact Registry'!$A$5:$A$200,D184)&gt;0,COUNTIF(FamilyList,E184)&gt;0,COUNTIF(NatureList,F184)&gt;0,COUNTIF(LifecycleList,G184)&gt;0,COUNTIF(SignificanceList,L184)&gt;0,COUNTIF(ConsumerList,M184)&gt;0),"PASS","CHECK"))</f>
        <v/>
      </c>
    </row>
    <row r="185">
      <c r="A185" s="10" t="n"/>
      <c r="B185" s="21" t="n"/>
      <c r="C185" s="10" t="n"/>
      <c r="D185" s="10" t="n"/>
      <c r="E185" s="10" t="n"/>
      <c r="F185" s="10" t="n"/>
      <c r="G185" s="10" t="n"/>
      <c r="H185" s="10" t="n"/>
      <c r="I185" s="10" t="n"/>
      <c r="J185" s="10" t="n"/>
      <c r="K185" s="10" t="n"/>
      <c r="L185" s="10" t="n"/>
      <c r="M185" s="10" t="n"/>
      <c r="N185" s="10" t="n"/>
      <c r="O185" s="10">
        <f>IF(A185="","",IF(AND(COUNTIF(EventTypeList,C185)&gt;0,COUNTIF('Artifact Registry'!$A$5:$A$200,D185)&gt;0,COUNTIF(FamilyList,E185)&gt;0,COUNTIF(NatureList,F185)&gt;0,COUNTIF(LifecycleList,G185)&gt;0,COUNTIF(SignificanceList,L185)&gt;0,COUNTIF(ConsumerList,M185)&gt;0),"PASS","CHECK"))</f>
        <v/>
      </c>
    </row>
    <row r="186">
      <c r="A186" s="10" t="n"/>
      <c r="B186" s="21" t="n"/>
      <c r="C186" s="10" t="n"/>
      <c r="D186" s="10" t="n"/>
      <c r="E186" s="10" t="n"/>
      <c r="F186" s="10" t="n"/>
      <c r="G186" s="10" t="n"/>
      <c r="H186" s="10" t="n"/>
      <c r="I186" s="10" t="n"/>
      <c r="J186" s="10" t="n"/>
      <c r="K186" s="10" t="n"/>
      <c r="L186" s="10" t="n"/>
      <c r="M186" s="10" t="n"/>
      <c r="N186" s="10" t="n"/>
      <c r="O186" s="10">
        <f>IF(A186="","",IF(AND(COUNTIF(EventTypeList,C186)&gt;0,COUNTIF('Artifact Registry'!$A$5:$A$200,D186)&gt;0,COUNTIF(FamilyList,E186)&gt;0,COUNTIF(NatureList,F186)&gt;0,COUNTIF(LifecycleList,G186)&gt;0,COUNTIF(SignificanceList,L186)&gt;0,COUNTIF(ConsumerList,M186)&gt;0),"PASS","CHECK"))</f>
        <v/>
      </c>
    </row>
    <row r="187">
      <c r="A187" s="10" t="n"/>
      <c r="B187" s="21" t="n"/>
      <c r="C187" s="10" t="n"/>
      <c r="D187" s="10" t="n"/>
      <c r="E187" s="10" t="n"/>
      <c r="F187" s="10" t="n"/>
      <c r="G187" s="10" t="n"/>
      <c r="H187" s="10" t="n"/>
      <c r="I187" s="10" t="n"/>
      <c r="J187" s="10" t="n"/>
      <c r="K187" s="10" t="n"/>
      <c r="L187" s="10" t="n"/>
      <c r="M187" s="10" t="n"/>
      <c r="N187" s="10" t="n"/>
      <c r="O187" s="10">
        <f>IF(A187="","",IF(AND(COUNTIF(EventTypeList,C187)&gt;0,COUNTIF('Artifact Registry'!$A$5:$A$200,D187)&gt;0,COUNTIF(FamilyList,E187)&gt;0,COUNTIF(NatureList,F187)&gt;0,COUNTIF(LifecycleList,G187)&gt;0,COUNTIF(SignificanceList,L187)&gt;0,COUNTIF(ConsumerList,M187)&gt;0),"PASS","CHECK"))</f>
        <v/>
      </c>
    </row>
    <row r="188">
      <c r="A188" s="10" t="n"/>
      <c r="B188" s="21" t="n"/>
      <c r="C188" s="10" t="n"/>
      <c r="D188" s="10" t="n"/>
      <c r="E188" s="10" t="n"/>
      <c r="F188" s="10" t="n"/>
      <c r="G188" s="10" t="n"/>
      <c r="H188" s="10" t="n"/>
      <c r="I188" s="10" t="n"/>
      <c r="J188" s="10" t="n"/>
      <c r="K188" s="10" t="n"/>
      <c r="L188" s="10" t="n"/>
      <c r="M188" s="10" t="n"/>
      <c r="N188" s="10" t="n"/>
      <c r="O188" s="10">
        <f>IF(A188="","",IF(AND(COUNTIF(EventTypeList,C188)&gt;0,COUNTIF('Artifact Registry'!$A$5:$A$200,D188)&gt;0,COUNTIF(FamilyList,E188)&gt;0,COUNTIF(NatureList,F188)&gt;0,COUNTIF(LifecycleList,G188)&gt;0,COUNTIF(SignificanceList,L188)&gt;0,COUNTIF(ConsumerList,M188)&gt;0),"PASS","CHECK"))</f>
        <v/>
      </c>
    </row>
    <row r="189">
      <c r="A189" s="10" t="n"/>
      <c r="B189" s="21" t="n"/>
      <c r="C189" s="10" t="n"/>
      <c r="D189" s="10" t="n"/>
      <c r="E189" s="10" t="n"/>
      <c r="F189" s="10" t="n"/>
      <c r="G189" s="10" t="n"/>
      <c r="H189" s="10" t="n"/>
      <c r="I189" s="10" t="n"/>
      <c r="J189" s="10" t="n"/>
      <c r="K189" s="10" t="n"/>
      <c r="L189" s="10" t="n"/>
      <c r="M189" s="10" t="n"/>
      <c r="N189" s="10" t="n"/>
      <c r="O189" s="10">
        <f>IF(A189="","",IF(AND(COUNTIF(EventTypeList,C189)&gt;0,COUNTIF('Artifact Registry'!$A$5:$A$200,D189)&gt;0,COUNTIF(FamilyList,E189)&gt;0,COUNTIF(NatureList,F189)&gt;0,COUNTIF(LifecycleList,G189)&gt;0,COUNTIF(SignificanceList,L189)&gt;0,COUNTIF(ConsumerList,M189)&gt;0),"PASS","CHECK"))</f>
        <v/>
      </c>
    </row>
    <row r="190">
      <c r="A190" s="10" t="n"/>
      <c r="B190" s="21" t="n"/>
      <c r="C190" s="10" t="n"/>
      <c r="D190" s="10" t="n"/>
      <c r="E190" s="10" t="n"/>
      <c r="F190" s="10" t="n"/>
      <c r="G190" s="10" t="n"/>
      <c r="H190" s="10" t="n"/>
      <c r="I190" s="10" t="n"/>
      <c r="J190" s="10" t="n"/>
      <c r="K190" s="10" t="n"/>
      <c r="L190" s="10" t="n"/>
      <c r="M190" s="10" t="n"/>
      <c r="N190" s="10" t="n"/>
      <c r="O190" s="10">
        <f>IF(A190="","",IF(AND(COUNTIF(EventTypeList,C190)&gt;0,COUNTIF('Artifact Registry'!$A$5:$A$200,D190)&gt;0,COUNTIF(FamilyList,E190)&gt;0,COUNTIF(NatureList,F190)&gt;0,COUNTIF(LifecycleList,G190)&gt;0,COUNTIF(SignificanceList,L190)&gt;0,COUNTIF(ConsumerList,M190)&gt;0),"PASS","CHECK"))</f>
        <v/>
      </c>
    </row>
    <row r="191">
      <c r="A191" s="10" t="n"/>
      <c r="B191" s="21" t="n"/>
      <c r="C191" s="10" t="n"/>
      <c r="D191" s="10" t="n"/>
      <c r="E191" s="10" t="n"/>
      <c r="F191" s="10" t="n"/>
      <c r="G191" s="10" t="n"/>
      <c r="H191" s="10" t="n"/>
      <c r="I191" s="10" t="n"/>
      <c r="J191" s="10" t="n"/>
      <c r="K191" s="10" t="n"/>
      <c r="L191" s="10" t="n"/>
      <c r="M191" s="10" t="n"/>
      <c r="N191" s="10" t="n"/>
      <c r="O191" s="10">
        <f>IF(A191="","",IF(AND(COUNTIF(EventTypeList,C191)&gt;0,COUNTIF('Artifact Registry'!$A$5:$A$200,D191)&gt;0,COUNTIF(FamilyList,E191)&gt;0,COUNTIF(NatureList,F191)&gt;0,COUNTIF(LifecycleList,G191)&gt;0,COUNTIF(SignificanceList,L191)&gt;0,COUNTIF(ConsumerList,M191)&gt;0),"PASS","CHECK"))</f>
        <v/>
      </c>
    </row>
    <row r="192">
      <c r="A192" s="10" t="n"/>
      <c r="B192" s="21" t="n"/>
      <c r="C192" s="10" t="n"/>
      <c r="D192" s="10" t="n"/>
      <c r="E192" s="10" t="n"/>
      <c r="F192" s="10" t="n"/>
      <c r="G192" s="10" t="n"/>
      <c r="H192" s="10" t="n"/>
      <c r="I192" s="10" t="n"/>
      <c r="J192" s="10" t="n"/>
      <c r="K192" s="10" t="n"/>
      <c r="L192" s="10" t="n"/>
      <c r="M192" s="10" t="n"/>
      <c r="N192" s="10" t="n"/>
      <c r="O192" s="10">
        <f>IF(A192="","",IF(AND(COUNTIF(EventTypeList,C192)&gt;0,COUNTIF('Artifact Registry'!$A$5:$A$200,D192)&gt;0,COUNTIF(FamilyList,E192)&gt;0,COUNTIF(NatureList,F192)&gt;0,COUNTIF(LifecycleList,G192)&gt;0,COUNTIF(SignificanceList,L192)&gt;0,COUNTIF(ConsumerList,M192)&gt;0),"PASS","CHECK"))</f>
        <v/>
      </c>
    </row>
    <row r="193">
      <c r="A193" s="10" t="n"/>
      <c r="B193" s="21" t="n"/>
      <c r="C193" s="10" t="n"/>
      <c r="D193" s="10" t="n"/>
      <c r="E193" s="10" t="n"/>
      <c r="F193" s="10" t="n"/>
      <c r="G193" s="10" t="n"/>
      <c r="H193" s="10" t="n"/>
      <c r="I193" s="10" t="n"/>
      <c r="J193" s="10" t="n"/>
      <c r="K193" s="10" t="n"/>
      <c r="L193" s="10" t="n"/>
      <c r="M193" s="10" t="n"/>
      <c r="N193" s="10" t="n"/>
      <c r="O193" s="10">
        <f>IF(A193="","",IF(AND(COUNTIF(EventTypeList,C193)&gt;0,COUNTIF('Artifact Registry'!$A$5:$A$200,D193)&gt;0,COUNTIF(FamilyList,E193)&gt;0,COUNTIF(NatureList,F193)&gt;0,COUNTIF(LifecycleList,G193)&gt;0,COUNTIF(SignificanceList,L193)&gt;0,COUNTIF(ConsumerList,M193)&gt;0),"PASS","CHECK"))</f>
        <v/>
      </c>
    </row>
    <row r="194">
      <c r="A194" s="10" t="n"/>
      <c r="B194" s="21" t="n"/>
      <c r="C194" s="10" t="n"/>
      <c r="D194" s="10" t="n"/>
      <c r="E194" s="10" t="n"/>
      <c r="F194" s="10" t="n"/>
      <c r="G194" s="10" t="n"/>
      <c r="H194" s="10" t="n"/>
      <c r="I194" s="10" t="n"/>
      <c r="J194" s="10" t="n"/>
      <c r="K194" s="10" t="n"/>
      <c r="L194" s="10" t="n"/>
      <c r="M194" s="10" t="n"/>
      <c r="N194" s="10" t="n"/>
      <c r="O194" s="10">
        <f>IF(A194="","",IF(AND(COUNTIF(EventTypeList,C194)&gt;0,COUNTIF('Artifact Registry'!$A$5:$A$200,D194)&gt;0,COUNTIF(FamilyList,E194)&gt;0,COUNTIF(NatureList,F194)&gt;0,COUNTIF(LifecycleList,G194)&gt;0,COUNTIF(SignificanceList,L194)&gt;0,COUNTIF(ConsumerList,M194)&gt;0),"PASS","CHECK"))</f>
        <v/>
      </c>
    </row>
    <row r="195">
      <c r="A195" s="10" t="n"/>
      <c r="B195" s="21" t="n"/>
      <c r="C195" s="10" t="n"/>
      <c r="D195" s="10" t="n"/>
      <c r="E195" s="10" t="n"/>
      <c r="F195" s="10" t="n"/>
      <c r="G195" s="10" t="n"/>
      <c r="H195" s="10" t="n"/>
      <c r="I195" s="10" t="n"/>
      <c r="J195" s="10" t="n"/>
      <c r="K195" s="10" t="n"/>
      <c r="L195" s="10" t="n"/>
      <c r="M195" s="10" t="n"/>
      <c r="N195" s="10" t="n"/>
      <c r="O195" s="10">
        <f>IF(A195="","",IF(AND(COUNTIF(EventTypeList,C195)&gt;0,COUNTIF('Artifact Registry'!$A$5:$A$200,D195)&gt;0,COUNTIF(FamilyList,E195)&gt;0,COUNTIF(NatureList,F195)&gt;0,COUNTIF(LifecycleList,G195)&gt;0,COUNTIF(SignificanceList,L195)&gt;0,COUNTIF(ConsumerList,M195)&gt;0),"PASS","CHECK"))</f>
        <v/>
      </c>
    </row>
    <row r="196">
      <c r="A196" s="10" t="n"/>
      <c r="B196" s="21" t="n"/>
      <c r="C196" s="10" t="n"/>
      <c r="D196" s="10" t="n"/>
      <c r="E196" s="10" t="n"/>
      <c r="F196" s="10" t="n"/>
      <c r="G196" s="10" t="n"/>
      <c r="H196" s="10" t="n"/>
      <c r="I196" s="10" t="n"/>
      <c r="J196" s="10" t="n"/>
      <c r="K196" s="10" t="n"/>
      <c r="L196" s="10" t="n"/>
      <c r="M196" s="10" t="n"/>
      <c r="N196" s="10" t="n"/>
      <c r="O196" s="10">
        <f>IF(A196="","",IF(AND(COUNTIF(EventTypeList,C196)&gt;0,COUNTIF('Artifact Registry'!$A$5:$A$200,D196)&gt;0,COUNTIF(FamilyList,E196)&gt;0,COUNTIF(NatureList,F196)&gt;0,COUNTIF(LifecycleList,G196)&gt;0,COUNTIF(SignificanceList,L196)&gt;0,COUNTIF(ConsumerList,M196)&gt;0),"PASS","CHECK"))</f>
        <v/>
      </c>
    </row>
    <row r="197">
      <c r="A197" s="10" t="n"/>
      <c r="B197" s="21" t="n"/>
      <c r="C197" s="10" t="n"/>
      <c r="D197" s="10" t="n"/>
      <c r="E197" s="10" t="n"/>
      <c r="F197" s="10" t="n"/>
      <c r="G197" s="10" t="n"/>
      <c r="H197" s="10" t="n"/>
      <c r="I197" s="10" t="n"/>
      <c r="J197" s="10" t="n"/>
      <c r="K197" s="10" t="n"/>
      <c r="L197" s="10" t="n"/>
      <c r="M197" s="10" t="n"/>
      <c r="N197" s="10" t="n"/>
      <c r="O197" s="10">
        <f>IF(A197="","",IF(AND(COUNTIF(EventTypeList,C197)&gt;0,COUNTIF('Artifact Registry'!$A$5:$A$200,D197)&gt;0,COUNTIF(FamilyList,E197)&gt;0,COUNTIF(NatureList,F197)&gt;0,COUNTIF(LifecycleList,G197)&gt;0,COUNTIF(SignificanceList,L197)&gt;0,COUNTIF(ConsumerList,M197)&gt;0),"PASS","CHECK"))</f>
        <v/>
      </c>
    </row>
    <row r="198">
      <c r="A198" s="10" t="n"/>
      <c r="B198" s="21" t="n"/>
      <c r="C198" s="10" t="n"/>
      <c r="D198" s="10" t="n"/>
      <c r="E198" s="10" t="n"/>
      <c r="F198" s="10" t="n"/>
      <c r="G198" s="10" t="n"/>
      <c r="H198" s="10" t="n"/>
      <c r="I198" s="10" t="n"/>
      <c r="J198" s="10" t="n"/>
      <c r="K198" s="10" t="n"/>
      <c r="L198" s="10" t="n"/>
      <c r="M198" s="10" t="n"/>
      <c r="N198" s="10" t="n"/>
      <c r="O198" s="10">
        <f>IF(A198="","",IF(AND(COUNTIF(EventTypeList,C198)&gt;0,COUNTIF('Artifact Registry'!$A$5:$A$200,D198)&gt;0,COUNTIF(FamilyList,E198)&gt;0,COUNTIF(NatureList,F198)&gt;0,COUNTIF(LifecycleList,G198)&gt;0,COUNTIF(SignificanceList,L198)&gt;0,COUNTIF(ConsumerList,M198)&gt;0),"PASS","CHECK"))</f>
        <v/>
      </c>
    </row>
    <row r="199">
      <c r="A199" s="10" t="n"/>
      <c r="B199" s="21" t="n"/>
      <c r="C199" s="10" t="n"/>
      <c r="D199" s="10" t="n"/>
      <c r="E199" s="10" t="n"/>
      <c r="F199" s="10" t="n"/>
      <c r="G199" s="10" t="n"/>
      <c r="H199" s="10" t="n"/>
      <c r="I199" s="10" t="n"/>
      <c r="J199" s="10" t="n"/>
      <c r="K199" s="10" t="n"/>
      <c r="L199" s="10" t="n"/>
      <c r="M199" s="10" t="n"/>
      <c r="N199" s="10" t="n"/>
      <c r="O199" s="10">
        <f>IF(A199="","",IF(AND(COUNTIF(EventTypeList,C199)&gt;0,COUNTIF('Artifact Registry'!$A$5:$A$200,D199)&gt;0,COUNTIF(FamilyList,E199)&gt;0,COUNTIF(NatureList,F199)&gt;0,COUNTIF(LifecycleList,G199)&gt;0,COUNTIF(SignificanceList,L199)&gt;0,COUNTIF(ConsumerList,M199)&gt;0),"PASS","CHECK"))</f>
        <v/>
      </c>
    </row>
    <row r="200">
      <c r="A200" s="10" t="n"/>
      <c r="B200" s="21" t="n"/>
      <c r="C200" s="10" t="n"/>
      <c r="D200" s="10" t="n"/>
      <c r="E200" s="10" t="n"/>
      <c r="F200" s="10" t="n"/>
      <c r="G200" s="10" t="n"/>
      <c r="H200" s="10" t="n"/>
      <c r="I200" s="10" t="n"/>
      <c r="J200" s="10" t="n"/>
      <c r="K200" s="10" t="n"/>
      <c r="L200" s="10" t="n"/>
      <c r="M200" s="10" t="n"/>
      <c r="N200" s="10" t="n"/>
      <c r="O200" s="10">
        <f>IF(A200="","",IF(AND(COUNTIF(EventTypeList,C200)&gt;0,COUNTIF('Artifact Registry'!$A$5:$A$200,D200)&gt;0,COUNTIF(FamilyList,E200)&gt;0,COUNTIF(NatureList,F200)&gt;0,COUNTIF(LifecycleList,G200)&gt;0,COUNTIF(SignificanceList,L200)&gt;0,COUNTIF(ConsumerList,M200)&gt;0),"PASS","CHECK"))</f>
        <v/>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cols>
    <col width="17" customWidth="1" min="1" max="1"/>
    <col width="12" customWidth="1" min="2" max="2"/>
    <col width="20" customWidth="1" min="3" max="3"/>
    <col width="15" customWidth="1" min="4" max="4"/>
    <col width="22" customWidth="1" min="5" max="5"/>
    <col width="10" customWidth="1" min="6" max="6"/>
    <col width="25" customWidth="1" min="7" max="7"/>
    <col width="18" customWidth="1" min="8" max="8"/>
    <col width="11" customWidth="1" min="9" max="9"/>
    <col width="34" customWidth="1" min="10" max="10"/>
    <col width="38" customWidth="1" min="11" max="11"/>
    <col width="14" customWidth="1" min="12" max="12"/>
    <col width="14" customWidth="1" min="13" max="13"/>
    <col width="11" customWidth="1" min="14" max="14"/>
    <col width="13" customWidth="1" min="15" max="15"/>
    <col width="10" customWidth="1" min="16" max="16"/>
    <col width="26" customWidth="1" min="17" max="17"/>
  </cols>
  <sheetData>
    <row r="1">
      <c r="A1" s="12" t="inlineStr">
        <is>
          <t>Signal Intake — connector spine</t>
        </is>
      </c>
    </row>
    <row r="2">
      <c r="A2" s="13" t="inlineStr">
        <is>
          <t>Signal in → governed object → receipt out. PJ places a signal only on evidence. Otherwise it holds it.</t>
        </is>
      </c>
    </row>
    <row r="4">
      <c r="A4" s="14" t="inlineStr">
        <is>
          <t>Signal ID</t>
        </is>
      </c>
      <c r="B4" s="14" t="inlineStr">
        <is>
          <t>Received</t>
        </is>
      </c>
      <c r="C4" s="14" t="inlineStr">
        <is>
          <t>Connector</t>
        </is>
      </c>
      <c r="D4" s="14" t="inlineStr">
        <is>
          <t>Connector Type</t>
        </is>
      </c>
      <c r="E4" s="14" t="inlineStr">
        <is>
          <t>Source Ref</t>
        </is>
      </c>
      <c r="F4" s="14" t="inlineStr">
        <is>
          <t>Kind</t>
        </is>
      </c>
      <c r="G4" s="14" t="inlineStr">
        <is>
          <t>Artifact ID</t>
        </is>
      </c>
      <c r="H4" s="14" t="inlineStr">
        <is>
          <t>Suggested CaseSpace</t>
        </is>
      </c>
      <c r="I4" s="14" t="inlineStr">
        <is>
          <t>Confidence</t>
        </is>
      </c>
      <c r="J4" s="14" t="inlineStr">
        <is>
          <t>Match Evidence</t>
        </is>
      </c>
      <c r="K4" s="14" t="inlineStr">
        <is>
          <t>Missing Evidence</t>
        </is>
      </c>
      <c r="L4" s="14" t="inlineStr">
        <is>
          <t>Decision</t>
        </is>
      </c>
      <c r="M4" s="14" t="inlineStr">
        <is>
          <t>Receipt ID</t>
        </is>
      </c>
      <c r="N4" s="14" t="inlineStr">
        <is>
          <t>Preserved</t>
        </is>
      </c>
      <c r="O4" s="14" t="inlineStr">
        <is>
          <t>Checksum</t>
        </is>
      </c>
      <c r="P4" s="14" t="inlineStr">
        <is>
          <t>Valid?</t>
        </is>
      </c>
      <c r="Q4" s="14" t="inlineStr">
        <is>
          <t>Receipt Verb</t>
        </is>
      </c>
    </row>
    <row r="5">
      <c r="A5" t="inlineStr">
        <is>
          <t>SIG-2026-000001</t>
        </is>
      </c>
      <c r="B5" s="22" t="n">
        <v>46201</v>
      </c>
      <c r="C5" t="inlineStr">
        <is>
          <t>connector:airbnb</t>
        </is>
      </c>
      <c r="D5" t="inlineStr">
        <is>
          <t>api</t>
        </is>
      </c>
      <c r="E5" t="inlineStr">
        <is>
          <t>airbnb:res/HMX8Q2</t>
        </is>
      </c>
      <c r="F5" t="inlineStr">
        <is>
          <t>row</t>
        </is>
      </c>
      <c r="G5" t="inlineStr">
        <is>
          <t>PL-STAY-CASE-2026-00001</t>
        </is>
      </c>
      <c r="H5" t="inlineStr">
        <is>
          <t>CS-2026-01</t>
        </is>
      </c>
      <c r="I5" s="20" t="n">
        <v>0.96</v>
      </c>
      <c r="J5" t="inlineStr">
        <is>
          <t>reservation_id; guest_name; stay_dates</t>
        </is>
      </c>
      <c r="L5" t="inlineStr">
        <is>
          <t>append</t>
        </is>
      </c>
      <c r="M5" t="inlineStr">
        <is>
          <t>RCPT-000001</t>
        </is>
      </c>
      <c r="N5" t="inlineStr">
        <is>
          <t>Yes</t>
        </is>
      </c>
      <c r="O5" t="inlineStr">
        <is>
          <t>cf1:9a4e…</t>
        </is>
      </c>
      <c r="P5">
        <f>IF(A5="","",IF(AND(COUNTIF(ConnectorTypeList,D5)&gt;0,COUNTIF(SignalKindList,F5)&gt;0,COUNTIF(DecisionList,L5)&gt;0,COUNTIF(ReceiptVerbList,Q5)&gt;0,C5&lt;&gt;"",E5&lt;&gt;"",N5="Yes",COUNTIF('Artifact Registry'!$A$5:$A$200,G5)&gt;0,IF(L5="needs_review",AND(K5&lt;&gt;"",Q5="flagged_for_review",I5&lt;ReviewThreshold),AND(I5&gt;=ReviewThreshold,Q5&lt;&gt;"flagged_for_review"))),"PASS","CHECK"))</f>
        <v/>
      </c>
      <c r="Q5" t="inlineStr">
        <is>
          <t>appended_to_casespace</t>
        </is>
      </c>
    </row>
    <row r="6">
      <c r="A6" t="inlineStr">
        <is>
          <t>SIG-2026-000002</t>
        </is>
      </c>
      <c r="B6" s="22" t="n">
        <v>46201</v>
      </c>
      <c r="C6" t="inlineStr">
        <is>
          <t>mcp:google-drive</t>
        </is>
      </c>
      <c r="D6" t="inlineStr">
        <is>
          <t>files</t>
        </is>
      </c>
      <c r="E6" t="inlineStr">
        <is>
          <t>drive:file/9z</t>
        </is>
      </c>
      <c r="F6" t="inlineStr">
        <is>
          <t>file</t>
        </is>
      </c>
      <c r="G6" t="inlineStr">
        <is>
          <t>PL-STAY-CASE-2026-00002</t>
        </is>
      </c>
      <c r="H6" t="inlineStr">
        <is>
          <t>CS-2026-01</t>
        </is>
      </c>
      <c r="I6" s="20" t="n">
        <v>0.88</v>
      </c>
      <c r="J6" t="inlineStr">
        <is>
          <t>folder_path; reservation_name; stay_dates</t>
        </is>
      </c>
      <c r="L6" t="inlineStr">
        <is>
          <t>append</t>
        </is>
      </c>
      <c r="M6" t="inlineStr">
        <is>
          <t>RCPT-000002</t>
        </is>
      </c>
      <c r="N6" t="inlineStr">
        <is>
          <t>Yes</t>
        </is>
      </c>
      <c r="O6" t="inlineStr">
        <is>
          <t>cf1:2c77…</t>
        </is>
      </c>
      <c r="P6">
        <f>IF(A6="","",IF(AND(COUNTIF(ConnectorTypeList,D6)&gt;0,COUNTIF(SignalKindList,F6)&gt;0,COUNTIF(DecisionList,L6)&gt;0,COUNTIF(ReceiptVerbList,Q6)&gt;0,C6&lt;&gt;"",E6&lt;&gt;"",N6="Yes",COUNTIF('Artifact Registry'!$A$5:$A$200,G6)&gt;0,IF(L6="needs_review",AND(K6&lt;&gt;"",Q6="flagged_for_review",I6&lt;ReviewThreshold),AND(I6&gt;=ReviewThreshold,Q6&lt;&gt;"flagged_for_review"))),"PASS","CHECK"))</f>
        <v/>
      </c>
      <c r="Q6" t="inlineStr">
        <is>
          <t>appended_to_casespace</t>
        </is>
      </c>
    </row>
    <row r="7">
      <c r="A7" t="inlineStr">
        <is>
          <t>SIG-2026-000003</t>
        </is>
      </c>
      <c r="B7" s="22" t="n">
        <v>46201</v>
      </c>
      <c r="C7" t="inlineStr">
        <is>
          <t>mcp:gmail</t>
        </is>
      </c>
      <c r="D7" t="inlineStr">
        <is>
          <t>api</t>
        </is>
      </c>
      <c r="E7" t="inlineStr">
        <is>
          <t>gmail:msg/abc123</t>
        </is>
      </c>
      <c r="F7" t="inlineStr">
        <is>
          <t>email</t>
        </is>
      </c>
      <c r="G7" t="inlineStr">
        <is>
          <t>PL-STAY-SIG-2026-00001</t>
        </is>
      </c>
      <c r="I7" s="20" t="n">
        <v>0.42</v>
      </c>
      <c r="J7" t="inlineStr">
        <is>
          <t>source:gmail</t>
        </is>
      </c>
      <c r="K7" t="inlineStr">
        <is>
          <t>reservation_id; guest_email_match; stay_date_match</t>
        </is>
      </c>
      <c r="L7" t="inlineStr">
        <is>
          <t>needs_review</t>
        </is>
      </c>
      <c r="M7" t="inlineStr">
        <is>
          <t>RCPT-000003</t>
        </is>
      </c>
      <c r="N7" t="inlineStr">
        <is>
          <t>Yes</t>
        </is>
      </c>
      <c r="O7" t="inlineStr">
        <is>
          <t>cf1:7ee5…</t>
        </is>
      </c>
      <c r="P7">
        <f>IF(A7="","",IF(AND(COUNTIF(ConnectorTypeList,D7)&gt;0,COUNTIF(SignalKindList,F7)&gt;0,COUNTIF(DecisionList,L7)&gt;0,COUNTIF(ReceiptVerbList,Q7)&gt;0,C7&lt;&gt;"",E7&lt;&gt;"",N7="Yes",COUNTIF('Artifact Registry'!$A$5:$A$200,G7)&gt;0,IF(L7="needs_review",AND(K7&lt;&gt;"",Q7="flagged_for_review",I7&lt;ReviewThreshold),AND(I7&gt;=ReviewThreshold,Q7&lt;&gt;"flagged_for_review"))),"PASS","CHECK"))</f>
        <v/>
      </c>
      <c r="Q7" t="inlineStr">
        <is>
          <t>flagged_for_review</t>
        </is>
      </c>
    </row>
    <row r="8">
      <c r="P8">
        <f>IF(A8="","",IF(AND(COUNTIF(ConnectorTypeList,D8)&gt;0,COUNTIF(SignalKindList,F8)&gt;0,COUNTIF(DecisionList,L8)&gt;0,COUNTIF(ReceiptVerbList,Q8)&gt;0,C8&lt;&gt;"",E8&lt;&gt;"",N8="Yes",COUNTIF('Artifact Registry'!$A$5:$A$200,G8)&gt;0,IF(L8="needs_review",AND(K8&lt;&gt;"",Q8="flagged_for_review",I8&lt;ReviewThreshold),AND(I8&gt;=ReviewThreshold,Q8&lt;&gt;"flagged_for_review"))),"PASS","CHECK"))</f>
        <v/>
      </c>
    </row>
    <row r="9">
      <c r="P9">
        <f>IF(A9="","",IF(AND(COUNTIF(ConnectorTypeList,D9)&gt;0,COUNTIF(SignalKindList,F9)&gt;0,COUNTIF(DecisionList,L9)&gt;0,COUNTIF(ReceiptVerbList,Q9)&gt;0,C9&lt;&gt;"",E9&lt;&gt;"",N9="Yes",COUNTIF('Artifact Registry'!$A$5:$A$200,G9)&gt;0,IF(L9="needs_review",AND(K9&lt;&gt;"",Q9="flagged_for_review",I9&lt;ReviewThreshold),AND(I9&gt;=ReviewThreshold,Q9&lt;&gt;"flagged_for_review"))),"PASS","CHECK"))</f>
        <v/>
      </c>
    </row>
    <row r="10">
      <c r="P10">
        <f>IF(A10="","",IF(AND(COUNTIF(ConnectorTypeList,D10)&gt;0,COUNTIF(SignalKindList,F10)&gt;0,COUNTIF(DecisionList,L10)&gt;0,COUNTIF(ReceiptVerbList,Q10)&gt;0,C10&lt;&gt;"",E10&lt;&gt;"",N10="Yes",COUNTIF('Artifact Registry'!$A$5:$A$200,G10)&gt;0,IF(L10="needs_review",AND(K10&lt;&gt;"",Q10="flagged_for_review",I10&lt;ReviewThreshold),AND(I10&gt;=ReviewThreshold,Q10&lt;&gt;"flagged_for_review"))),"PASS","CHECK"))</f>
        <v/>
      </c>
    </row>
    <row r="11">
      <c r="P11">
        <f>IF(A11="","",IF(AND(COUNTIF(ConnectorTypeList,D11)&gt;0,COUNTIF(SignalKindList,F11)&gt;0,COUNTIF(DecisionList,L11)&gt;0,COUNTIF(ReceiptVerbList,Q11)&gt;0,C11&lt;&gt;"",E11&lt;&gt;"",N11="Yes",COUNTIF('Artifact Registry'!$A$5:$A$200,G11)&gt;0,IF(L11="needs_review",AND(K11&lt;&gt;"",Q11="flagged_for_review",I11&lt;ReviewThreshold),AND(I11&gt;=ReviewThreshold,Q11&lt;&gt;"flagged_for_review"))),"PASS","CHECK"))</f>
        <v/>
      </c>
    </row>
    <row r="12">
      <c r="P12">
        <f>IF(A12="","",IF(AND(COUNTIF(ConnectorTypeList,D12)&gt;0,COUNTIF(SignalKindList,F12)&gt;0,COUNTIF(DecisionList,L12)&gt;0,COUNTIF(ReceiptVerbList,Q12)&gt;0,C12&lt;&gt;"",E12&lt;&gt;"",N12="Yes",COUNTIF('Artifact Registry'!$A$5:$A$200,G12)&gt;0,IF(L12="needs_review",AND(K12&lt;&gt;"",Q12="flagged_for_review",I12&lt;ReviewThreshold),AND(I12&gt;=ReviewThreshold,Q12&lt;&gt;"flagged_for_review"))),"PASS","CHECK"))</f>
        <v/>
      </c>
    </row>
    <row r="13">
      <c r="P13">
        <f>IF(A13="","",IF(AND(COUNTIF(ConnectorTypeList,D13)&gt;0,COUNTIF(SignalKindList,F13)&gt;0,COUNTIF(DecisionList,L13)&gt;0,COUNTIF(ReceiptVerbList,Q13)&gt;0,C13&lt;&gt;"",E13&lt;&gt;"",N13="Yes",COUNTIF('Artifact Registry'!$A$5:$A$200,G13)&gt;0,IF(L13="needs_review",AND(K13&lt;&gt;"",Q13="flagged_for_review",I13&lt;ReviewThreshold),AND(I13&gt;=ReviewThreshold,Q13&lt;&gt;"flagged_for_review"))),"PASS","CHECK"))</f>
        <v/>
      </c>
    </row>
    <row r="14">
      <c r="P14">
        <f>IF(A14="","",IF(AND(COUNTIF(ConnectorTypeList,D14)&gt;0,COUNTIF(SignalKindList,F14)&gt;0,COUNTIF(DecisionList,L14)&gt;0,COUNTIF(ReceiptVerbList,Q14)&gt;0,C14&lt;&gt;"",E14&lt;&gt;"",N14="Yes",COUNTIF('Artifact Registry'!$A$5:$A$200,G14)&gt;0,IF(L14="needs_review",AND(K14&lt;&gt;"",Q14="flagged_for_review",I14&lt;ReviewThreshold),AND(I14&gt;=ReviewThreshold,Q14&lt;&gt;"flagged_for_review"))),"PASS","CHECK"))</f>
        <v/>
      </c>
    </row>
    <row r="15">
      <c r="P15">
        <f>IF(A15="","",IF(AND(COUNTIF(ConnectorTypeList,D15)&gt;0,COUNTIF(SignalKindList,F15)&gt;0,COUNTIF(DecisionList,L15)&gt;0,COUNTIF(ReceiptVerbList,Q15)&gt;0,C15&lt;&gt;"",E15&lt;&gt;"",N15="Yes",COUNTIF('Artifact Registry'!$A$5:$A$200,G15)&gt;0,IF(L15="needs_review",AND(K15&lt;&gt;"",Q15="flagged_for_review",I15&lt;ReviewThreshold),AND(I15&gt;=ReviewThreshold,Q15&lt;&gt;"flagged_for_review"))),"PASS","CHECK"))</f>
        <v/>
      </c>
    </row>
    <row r="16">
      <c r="P16">
        <f>IF(A16="","",IF(AND(COUNTIF(ConnectorTypeList,D16)&gt;0,COUNTIF(SignalKindList,F16)&gt;0,COUNTIF(DecisionList,L16)&gt;0,COUNTIF(ReceiptVerbList,Q16)&gt;0,C16&lt;&gt;"",E16&lt;&gt;"",N16="Yes",COUNTIF('Artifact Registry'!$A$5:$A$200,G16)&gt;0,IF(L16="needs_review",AND(K16&lt;&gt;"",Q16="flagged_for_review",I16&lt;ReviewThreshold),AND(I16&gt;=ReviewThreshold,Q16&lt;&gt;"flagged_for_review"))),"PASS","CHECK"))</f>
        <v/>
      </c>
    </row>
    <row r="17">
      <c r="P17">
        <f>IF(A17="","",IF(AND(COUNTIF(ConnectorTypeList,D17)&gt;0,COUNTIF(SignalKindList,F17)&gt;0,COUNTIF(DecisionList,L17)&gt;0,COUNTIF(ReceiptVerbList,Q17)&gt;0,C17&lt;&gt;"",E17&lt;&gt;"",N17="Yes",COUNTIF('Artifact Registry'!$A$5:$A$200,G17)&gt;0,IF(L17="needs_review",AND(K17&lt;&gt;"",Q17="flagged_for_review",I17&lt;ReviewThreshold),AND(I17&gt;=ReviewThreshold,Q17&lt;&gt;"flagged_for_review"))),"PASS","CHECK"))</f>
        <v/>
      </c>
    </row>
    <row r="18">
      <c r="P18">
        <f>IF(A18="","",IF(AND(COUNTIF(ConnectorTypeList,D18)&gt;0,COUNTIF(SignalKindList,F18)&gt;0,COUNTIF(DecisionList,L18)&gt;0,COUNTIF(ReceiptVerbList,Q18)&gt;0,C18&lt;&gt;"",E18&lt;&gt;"",N18="Yes",COUNTIF('Artifact Registry'!$A$5:$A$200,G18)&gt;0,IF(L18="needs_review",AND(K18&lt;&gt;"",Q18="flagged_for_review",I18&lt;ReviewThreshold),AND(I18&gt;=ReviewThreshold,Q18&lt;&gt;"flagged_for_review"))),"PASS","CHECK"))</f>
        <v/>
      </c>
    </row>
    <row r="19">
      <c r="P19">
        <f>IF(A19="","",IF(AND(COUNTIF(ConnectorTypeList,D19)&gt;0,COUNTIF(SignalKindList,F19)&gt;0,COUNTIF(DecisionList,L19)&gt;0,COUNTIF(ReceiptVerbList,Q19)&gt;0,C19&lt;&gt;"",E19&lt;&gt;"",N19="Yes",COUNTIF('Artifact Registry'!$A$5:$A$200,G19)&gt;0,IF(L19="needs_review",AND(K19&lt;&gt;"",Q19="flagged_for_review",I19&lt;ReviewThreshold),AND(I19&gt;=ReviewThreshold,Q19&lt;&gt;"flagged_for_review"))),"PASS","CHECK"))</f>
        <v/>
      </c>
    </row>
    <row r="20">
      <c r="P20">
        <f>IF(A20="","",IF(AND(COUNTIF(ConnectorTypeList,D20)&gt;0,COUNTIF(SignalKindList,F20)&gt;0,COUNTIF(DecisionList,L20)&gt;0,COUNTIF(ReceiptVerbList,Q20)&gt;0,C20&lt;&gt;"",E20&lt;&gt;"",N20="Yes",COUNTIF('Artifact Registry'!$A$5:$A$200,G20)&gt;0,IF(L20="needs_review",AND(K20&lt;&gt;"",Q20="flagged_for_review",I20&lt;ReviewThreshold),AND(I20&gt;=ReviewThreshold,Q20&lt;&gt;"flagged_for_review"))),"PASS","CHECK"))</f>
        <v/>
      </c>
    </row>
    <row r="21">
      <c r="P21">
        <f>IF(A21="","",IF(AND(COUNTIF(ConnectorTypeList,D21)&gt;0,COUNTIF(SignalKindList,F21)&gt;0,COUNTIF(DecisionList,L21)&gt;0,COUNTIF(ReceiptVerbList,Q21)&gt;0,C21&lt;&gt;"",E21&lt;&gt;"",N21="Yes",COUNTIF('Artifact Registry'!$A$5:$A$200,G21)&gt;0,IF(L21="needs_review",AND(K21&lt;&gt;"",Q21="flagged_for_review",I21&lt;ReviewThreshold),AND(I21&gt;=ReviewThreshold,Q21&lt;&gt;"flagged_for_review"))),"PASS","CHECK"))</f>
        <v/>
      </c>
    </row>
    <row r="22">
      <c r="P22">
        <f>IF(A22="","",IF(AND(COUNTIF(ConnectorTypeList,D22)&gt;0,COUNTIF(SignalKindList,F22)&gt;0,COUNTIF(DecisionList,L22)&gt;0,COUNTIF(ReceiptVerbList,Q22)&gt;0,C22&lt;&gt;"",E22&lt;&gt;"",N22="Yes",COUNTIF('Artifact Registry'!$A$5:$A$200,G22)&gt;0,IF(L22="needs_review",AND(K22&lt;&gt;"",Q22="flagged_for_review",I22&lt;ReviewThreshold),AND(I22&gt;=ReviewThreshold,Q22&lt;&gt;"flagged_for_review"))),"PASS","CHECK"))</f>
        <v/>
      </c>
    </row>
    <row r="23">
      <c r="P23">
        <f>IF(A23="","",IF(AND(COUNTIF(ConnectorTypeList,D23)&gt;0,COUNTIF(SignalKindList,F23)&gt;0,COUNTIF(DecisionList,L23)&gt;0,COUNTIF(ReceiptVerbList,Q23)&gt;0,C23&lt;&gt;"",E23&lt;&gt;"",N23="Yes",COUNTIF('Artifact Registry'!$A$5:$A$200,G23)&gt;0,IF(L23="needs_review",AND(K23&lt;&gt;"",Q23="flagged_for_review",I23&lt;ReviewThreshold),AND(I23&gt;=ReviewThreshold,Q23&lt;&gt;"flagged_for_review"))),"PASS","CHECK"))</f>
        <v/>
      </c>
    </row>
    <row r="24">
      <c r="P24">
        <f>IF(A24="","",IF(AND(COUNTIF(ConnectorTypeList,D24)&gt;0,COUNTIF(SignalKindList,F24)&gt;0,COUNTIF(DecisionList,L24)&gt;0,COUNTIF(ReceiptVerbList,Q24)&gt;0,C24&lt;&gt;"",E24&lt;&gt;"",N24="Yes",COUNTIF('Artifact Registry'!$A$5:$A$200,G24)&gt;0,IF(L24="needs_review",AND(K24&lt;&gt;"",Q24="flagged_for_review",I24&lt;ReviewThreshold),AND(I24&gt;=ReviewThreshold,Q24&lt;&gt;"flagged_for_review"))),"PASS","CHECK"))</f>
        <v/>
      </c>
    </row>
    <row r="25">
      <c r="P25">
        <f>IF(A25="","",IF(AND(COUNTIF(ConnectorTypeList,D25)&gt;0,COUNTIF(SignalKindList,F25)&gt;0,COUNTIF(DecisionList,L25)&gt;0,COUNTIF(ReceiptVerbList,Q25)&gt;0,C25&lt;&gt;"",E25&lt;&gt;"",N25="Yes",COUNTIF('Artifact Registry'!$A$5:$A$200,G25)&gt;0,IF(L25="needs_review",AND(K25&lt;&gt;"",Q25="flagged_for_review",I25&lt;ReviewThreshold),AND(I25&gt;=ReviewThreshold,Q25&lt;&gt;"flagged_for_review"))),"PASS","CHECK"))</f>
        <v/>
      </c>
    </row>
    <row r="26">
      <c r="P26">
        <f>IF(A26="","",IF(AND(COUNTIF(ConnectorTypeList,D26)&gt;0,COUNTIF(SignalKindList,F26)&gt;0,COUNTIF(DecisionList,L26)&gt;0,COUNTIF(ReceiptVerbList,Q26)&gt;0,C26&lt;&gt;"",E26&lt;&gt;"",N26="Yes",COUNTIF('Artifact Registry'!$A$5:$A$200,G26)&gt;0,IF(L26="needs_review",AND(K26&lt;&gt;"",Q26="flagged_for_review",I26&lt;ReviewThreshold),AND(I26&gt;=ReviewThreshold,Q26&lt;&gt;"flagged_for_review"))),"PASS","CHECK"))</f>
        <v/>
      </c>
    </row>
    <row r="27">
      <c r="P27">
        <f>IF(A27="","",IF(AND(COUNTIF(ConnectorTypeList,D27)&gt;0,COUNTIF(SignalKindList,F27)&gt;0,COUNTIF(DecisionList,L27)&gt;0,COUNTIF(ReceiptVerbList,Q27)&gt;0,C27&lt;&gt;"",E27&lt;&gt;"",N27="Yes",COUNTIF('Artifact Registry'!$A$5:$A$200,G27)&gt;0,IF(L27="needs_review",AND(K27&lt;&gt;"",Q27="flagged_for_review",I27&lt;ReviewThreshold),AND(I27&gt;=ReviewThreshold,Q27&lt;&gt;"flagged_for_review"))),"PASS","CHECK"))</f>
        <v/>
      </c>
    </row>
    <row r="28">
      <c r="P28">
        <f>IF(A28="","",IF(AND(COUNTIF(ConnectorTypeList,D28)&gt;0,COUNTIF(SignalKindList,F28)&gt;0,COUNTIF(DecisionList,L28)&gt;0,COUNTIF(ReceiptVerbList,Q28)&gt;0,C28&lt;&gt;"",E28&lt;&gt;"",N28="Yes",COUNTIF('Artifact Registry'!$A$5:$A$200,G28)&gt;0,IF(L28="needs_review",AND(K28&lt;&gt;"",Q28="flagged_for_review",I28&lt;ReviewThreshold),AND(I28&gt;=ReviewThreshold,Q28&lt;&gt;"flagged_for_review"))),"PASS","CHECK"))</f>
        <v/>
      </c>
    </row>
    <row r="29">
      <c r="P29">
        <f>IF(A29="","",IF(AND(COUNTIF(ConnectorTypeList,D29)&gt;0,COUNTIF(SignalKindList,F29)&gt;0,COUNTIF(DecisionList,L29)&gt;0,COUNTIF(ReceiptVerbList,Q29)&gt;0,C29&lt;&gt;"",E29&lt;&gt;"",N29="Yes",COUNTIF('Artifact Registry'!$A$5:$A$200,G29)&gt;0,IF(L29="needs_review",AND(K29&lt;&gt;"",Q29="flagged_for_review",I29&lt;ReviewThreshold),AND(I29&gt;=ReviewThreshold,Q29&lt;&gt;"flagged_for_review"))),"PASS","CHECK"))</f>
        <v/>
      </c>
    </row>
    <row r="30">
      <c r="P30">
        <f>IF(A30="","",IF(AND(COUNTIF(ConnectorTypeList,D30)&gt;0,COUNTIF(SignalKindList,F30)&gt;0,COUNTIF(DecisionList,L30)&gt;0,COUNTIF(ReceiptVerbList,Q30)&gt;0,C30&lt;&gt;"",E30&lt;&gt;"",N30="Yes",COUNTIF('Artifact Registry'!$A$5:$A$200,G30)&gt;0,IF(L30="needs_review",AND(K30&lt;&gt;"",Q30="flagged_for_review",I30&lt;ReviewThreshold),AND(I30&gt;=ReviewThreshold,Q30&lt;&gt;"flagged_for_review"))),"PASS","CHECK"))</f>
        <v/>
      </c>
    </row>
    <row r="31">
      <c r="P31">
        <f>IF(A31="","",IF(AND(COUNTIF(ConnectorTypeList,D31)&gt;0,COUNTIF(SignalKindList,F31)&gt;0,COUNTIF(DecisionList,L31)&gt;0,COUNTIF(ReceiptVerbList,Q31)&gt;0,C31&lt;&gt;"",E31&lt;&gt;"",N31="Yes",COUNTIF('Artifact Registry'!$A$5:$A$200,G31)&gt;0,IF(L31="needs_review",AND(K31&lt;&gt;"",Q31="flagged_for_review",I31&lt;ReviewThreshold),AND(I31&gt;=ReviewThreshold,Q31&lt;&gt;"flagged_for_review"))),"PASS","CHECK"))</f>
        <v/>
      </c>
    </row>
    <row r="32">
      <c r="P32">
        <f>IF(A32="","",IF(AND(COUNTIF(ConnectorTypeList,D32)&gt;0,COUNTIF(SignalKindList,F32)&gt;0,COUNTIF(DecisionList,L32)&gt;0,COUNTIF(ReceiptVerbList,Q32)&gt;0,C32&lt;&gt;"",E32&lt;&gt;"",N32="Yes",COUNTIF('Artifact Registry'!$A$5:$A$200,G32)&gt;0,IF(L32="needs_review",AND(K32&lt;&gt;"",Q32="flagged_for_review",I32&lt;ReviewThreshold),AND(I32&gt;=ReviewThreshold,Q32&lt;&gt;"flagged_for_review"))),"PASS","CHECK"))</f>
        <v/>
      </c>
    </row>
    <row r="33">
      <c r="P33">
        <f>IF(A33="","",IF(AND(COUNTIF(ConnectorTypeList,D33)&gt;0,COUNTIF(SignalKindList,F33)&gt;0,COUNTIF(DecisionList,L33)&gt;0,COUNTIF(ReceiptVerbList,Q33)&gt;0,C33&lt;&gt;"",E33&lt;&gt;"",N33="Yes",COUNTIF('Artifact Registry'!$A$5:$A$200,G33)&gt;0,IF(L33="needs_review",AND(K33&lt;&gt;"",Q33="flagged_for_review",I33&lt;ReviewThreshold),AND(I33&gt;=ReviewThreshold,Q33&lt;&gt;"flagged_for_review"))),"PASS","CHECK"))</f>
        <v/>
      </c>
    </row>
    <row r="34">
      <c r="P34">
        <f>IF(A34="","",IF(AND(COUNTIF(ConnectorTypeList,D34)&gt;0,COUNTIF(SignalKindList,F34)&gt;0,COUNTIF(DecisionList,L34)&gt;0,COUNTIF(ReceiptVerbList,Q34)&gt;0,C34&lt;&gt;"",E34&lt;&gt;"",N34="Yes",COUNTIF('Artifact Registry'!$A$5:$A$200,G34)&gt;0,IF(L34="needs_review",AND(K34&lt;&gt;"",Q34="flagged_for_review",I34&lt;ReviewThreshold),AND(I34&gt;=ReviewThreshold,Q34&lt;&gt;"flagged_for_review"))),"PASS","CHECK"))</f>
        <v/>
      </c>
    </row>
    <row r="35">
      <c r="P35">
        <f>IF(A35="","",IF(AND(COUNTIF(ConnectorTypeList,D35)&gt;0,COUNTIF(SignalKindList,F35)&gt;0,COUNTIF(DecisionList,L35)&gt;0,COUNTIF(ReceiptVerbList,Q35)&gt;0,C35&lt;&gt;"",E35&lt;&gt;"",N35="Yes",COUNTIF('Artifact Registry'!$A$5:$A$200,G35)&gt;0,IF(L35="needs_review",AND(K35&lt;&gt;"",Q35="flagged_for_review",I35&lt;ReviewThreshold),AND(I35&gt;=ReviewThreshold,Q35&lt;&gt;"flagged_for_review"))),"PASS","CHECK"))</f>
        <v/>
      </c>
    </row>
    <row r="36">
      <c r="P36">
        <f>IF(A36="","",IF(AND(COUNTIF(ConnectorTypeList,D36)&gt;0,COUNTIF(SignalKindList,F36)&gt;0,COUNTIF(DecisionList,L36)&gt;0,COUNTIF(ReceiptVerbList,Q36)&gt;0,C36&lt;&gt;"",E36&lt;&gt;"",N36="Yes",COUNTIF('Artifact Registry'!$A$5:$A$200,G36)&gt;0,IF(L36="needs_review",AND(K36&lt;&gt;"",Q36="flagged_for_review",I36&lt;ReviewThreshold),AND(I36&gt;=ReviewThreshold,Q36&lt;&gt;"flagged_for_review"))),"PASS","CHECK"))</f>
        <v/>
      </c>
    </row>
    <row r="37">
      <c r="P37">
        <f>IF(A37="","",IF(AND(COUNTIF(ConnectorTypeList,D37)&gt;0,COUNTIF(SignalKindList,F37)&gt;0,COUNTIF(DecisionList,L37)&gt;0,COUNTIF(ReceiptVerbList,Q37)&gt;0,C37&lt;&gt;"",E37&lt;&gt;"",N37="Yes",COUNTIF('Artifact Registry'!$A$5:$A$200,G37)&gt;0,IF(L37="needs_review",AND(K37&lt;&gt;"",Q37="flagged_for_review",I37&lt;ReviewThreshold),AND(I37&gt;=ReviewThreshold,Q37&lt;&gt;"flagged_for_review"))),"PASS","CHECK"))</f>
        <v/>
      </c>
    </row>
    <row r="38">
      <c r="P38">
        <f>IF(A38="","",IF(AND(COUNTIF(ConnectorTypeList,D38)&gt;0,COUNTIF(SignalKindList,F38)&gt;0,COUNTIF(DecisionList,L38)&gt;0,COUNTIF(ReceiptVerbList,Q38)&gt;0,C38&lt;&gt;"",E38&lt;&gt;"",N38="Yes",COUNTIF('Artifact Registry'!$A$5:$A$200,G38)&gt;0,IF(L38="needs_review",AND(K38&lt;&gt;"",Q38="flagged_for_review",I38&lt;ReviewThreshold),AND(I38&gt;=ReviewThreshold,Q38&lt;&gt;"flagged_for_review"))),"PASS","CHECK"))</f>
        <v/>
      </c>
    </row>
    <row r="39">
      <c r="P39">
        <f>IF(A39="","",IF(AND(COUNTIF(ConnectorTypeList,D39)&gt;0,COUNTIF(SignalKindList,F39)&gt;0,COUNTIF(DecisionList,L39)&gt;0,COUNTIF(ReceiptVerbList,Q39)&gt;0,C39&lt;&gt;"",E39&lt;&gt;"",N39="Yes",COUNTIF('Artifact Registry'!$A$5:$A$200,G39)&gt;0,IF(L39="needs_review",AND(K39&lt;&gt;"",Q39="flagged_for_review",I39&lt;ReviewThreshold),AND(I39&gt;=ReviewThreshold,Q39&lt;&gt;"flagged_for_review"))),"PASS","CHECK"))</f>
        <v/>
      </c>
    </row>
    <row r="40">
      <c r="P40">
        <f>IF(A40="","",IF(AND(COUNTIF(ConnectorTypeList,D40)&gt;0,COUNTIF(SignalKindList,F40)&gt;0,COUNTIF(DecisionList,L40)&gt;0,COUNTIF(ReceiptVerbList,Q40)&gt;0,C40&lt;&gt;"",E40&lt;&gt;"",N40="Yes",COUNTIF('Artifact Registry'!$A$5:$A$200,G40)&gt;0,IF(L40="needs_review",AND(K40&lt;&gt;"",Q40="flagged_for_review",I40&lt;ReviewThreshold),AND(I40&gt;=ReviewThreshold,Q40&lt;&gt;"flagged_for_review"))),"PASS","CHECK"))</f>
        <v/>
      </c>
    </row>
    <row r="41">
      <c r="P41">
        <f>IF(A41="","",IF(AND(COUNTIF(ConnectorTypeList,D41)&gt;0,COUNTIF(SignalKindList,F41)&gt;0,COUNTIF(DecisionList,L41)&gt;0,COUNTIF(ReceiptVerbList,Q41)&gt;0,C41&lt;&gt;"",E41&lt;&gt;"",N41="Yes",COUNTIF('Artifact Registry'!$A$5:$A$200,G41)&gt;0,IF(L41="needs_review",AND(K41&lt;&gt;"",Q41="flagged_for_review",I41&lt;ReviewThreshold),AND(I41&gt;=ReviewThreshold,Q41&lt;&gt;"flagged_for_review"))),"PASS","CHECK"))</f>
        <v/>
      </c>
    </row>
    <row r="42">
      <c r="P42">
        <f>IF(A42="","",IF(AND(COUNTIF(ConnectorTypeList,D42)&gt;0,COUNTIF(SignalKindList,F42)&gt;0,COUNTIF(DecisionList,L42)&gt;0,COUNTIF(ReceiptVerbList,Q42)&gt;0,C42&lt;&gt;"",E42&lt;&gt;"",N42="Yes",COUNTIF('Artifact Registry'!$A$5:$A$200,G42)&gt;0,IF(L42="needs_review",AND(K42&lt;&gt;"",Q42="flagged_for_review",I42&lt;ReviewThreshold),AND(I42&gt;=ReviewThreshold,Q42&lt;&gt;"flagged_for_review"))),"PASS","CHECK"))</f>
        <v/>
      </c>
    </row>
    <row r="43">
      <c r="P43">
        <f>IF(A43="","",IF(AND(COUNTIF(ConnectorTypeList,D43)&gt;0,COUNTIF(SignalKindList,F43)&gt;0,COUNTIF(DecisionList,L43)&gt;0,COUNTIF(ReceiptVerbList,Q43)&gt;0,C43&lt;&gt;"",E43&lt;&gt;"",N43="Yes",COUNTIF('Artifact Registry'!$A$5:$A$200,G43)&gt;0,IF(L43="needs_review",AND(K43&lt;&gt;"",Q43="flagged_for_review",I43&lt;ReviewThreshold),AND(I43&gt;=ReviewThreshold,Q43&lt;&gt;"flagged_for_review"))),"PASS","CHECK"))</f>
        <v/>
      </c>
    </row>
    <row r="44">
      <c r="P44">
        <f>IF(A44="","",IF(AND(COUNTIF(ConnectorTypeList,D44)&gt;0,COUNTIF(SignalKindList,F44)&gt;0,COUNTIF(DecisionList,L44)&gt;0,COUNTIF(ReceiptVerbList,Q44)&gt;0,C44&lt;&gt;"",E44&lt;&gt;"",N44="Yes",COUNTIF('Artifact Registry'!$A$5:$A$200,G44)&gt;0,IF(L44="needs_review",AND(K44&lt;&gt;"",Q44="flagged_for_review",I44&lt;ReviewThreshold),AND(I44&gt;=ReviewThreshold,Q44&lt;&gt;"flagged_for_review"))),"PASS","CHECK"))</f>
        <v/>
      </c>
    </row>
    <row r="45">
      <c r="P45">
        <f>IF(A45="","",IF(AND(COUNTIF(ConnectorTypeList,D45)&gt;0,COUNTIF(SignalKindList,F45)&gt;0,COUNTIF(DecisionList,L45)&gt;0,COUNTIF(ReceiptVerbList,Q45)&gt;0,C45&lt;&gt;"",E45&lt;&gt;"",N45="Yes",COUNTIF('Artifact Registry'!$A$5:$A$200,G45)&gt;0,IF(L45="needs_review",AND(K45&lt;&gt;"",Q45="flagged_for_review",I45&lt;ReviewThreshold),AND(I45&gt;=ReviewThreshold,Q45&lt;&gt;"flagged_for_review"))),"PASS","CHECK"))</f>
        <v/>
      </c>
    </row>
    <row r="46">
      <c r="P46">
        <f>IF(A46="","",IF(AND(COUNTIF(ConnectorTypeList,D46)&gt;0,COUNTIF(SignalKindList,F46)&gt;0,COUNTIF(DecisionList,L46)&gt;0,COUNTIF(ReceiptVerbList,Q46)&gt;0,C46&lt;&gt;"",E46&lt;&gt;"",N46="Yes",COUNTIF('Artifact Registry'!$A$5:$A$200,G46)&gt;0,IF(L46="needs_review",AND(K46&lt;&gt;"",Q46="flagged_for_review",I46&lt;ReviewThreshold),AND(I46&gt;=ReviewThreshold,Q46&lt;&gt;"flagged_for_review"))),"PASS","CHECK"))</f>
        <v/>
      </c>
    </row>
    <row r="47">
      <c r="P47">
        <f>IF(A47="","",IF(AND(COUNTIF(ConnectorTypeList,D47)&gt;0,COUNTIF(SignalKindList,F47)&gt;0,COUNTIF(DecisionList,L47)&gt;0,COUNTIF(ReceiptVerbList,Q47)&gt;0,C47&lt;&gt;"",E47&lt;&gt;"",N47="Yes",COUNTIF('Artifact Registry'!$A$5:$A$200,G47)&gt;0,IF(L47="needs_review",AND(K47&lt;&gt;"",Q47="flagged_for_review",I47&lt;ReviewThreshold),AND(I47&gt;=ReviewThreshold,Q47&lt;&gt;"flagged_for_review"))),"PASS","CHECK"))</f>
        <v/>
      </c>
    </row>
    <row r="48">
      <c r="P48">
        <f>IF(A48="","",IF(AND(COUNTIF(ConnectorTypeList,D48)&gt;0,COUNTIF(SignalKindList,F48)&gt;0,COUNTIF(DecisionList,L48)&gt;0,COUNTIF(ReceiptVerbList,Q48)&gt;0,C48&lt;&gt;"",E48&lt;&gt;"",N48="Yes",COUNTIF('Artifact Registry'!$A$5:$A$200,G48)&gt;0,IF(L48="needs_review",AND(K48&lt;&gt;"",Q48="flagged_for_review",I48&lt;ReviewThreshold),AND(I48&gt;=ReviewThreshold,Q48&lt;&gt;"flagged_for_review"))),"PASS","CHECK"))</f>
        <v/>
      </c>
    </row>
    <row r="49">
      <c r="P49">
        <f>IF(A49="","",IF(AND(COUNTIF(ConnectorTypeList,D49)&gt;0,COUNTIF(SignalKindList,F49)&gt;0,COUNTIF(DecisionList,L49)&gt;0,COUNTIF(ReceiptVerbList,Q49)&gt;0,C49&lt;&gt;"",E49&lt;&gt;"",N49="Yes",COUNTIF('Artifact Registry'!$A$5:$A$200,G49)&gt;0,IF(L49="needs_review",AND(K49&lt;&gt;"",Q49="flagged_for_review",I49&lt;ReviewThreshold),AND(I49&gt;=ReviewThreshold,Q49&lt;&gt;"flagged_for_review"))),"PASS","CHECK"))</f>
        <v/>
      </c>
    </row>
    <row r="50">
      <c r="P50">
        <f>IF(A50="","",IF(AND(COUNTIF(ConnectorTypeList,D50)&gt;0,COUNTIF(SignalKindList,F50)&gt;0,COUNTIF(DecisionList,L50)&gt;0,COUNTIF(ReceiptVerbList,Q50)&gt;0,C50&lt;&gt;"",E50&lt;&gt;"",N50="Yes",COUNTIF('Artifact Registry'!$A$5:$A$200,G50)&gt;0,IF(L50="needs_review",AND(K50&lt;&gt;"",Q50="flagged_for_review",I50&lt;ReviewThreshold),AND(I50&gt;=ReviewThreshold,Q50&lt;&gt;"flagged_for_review"))),"PASS","CHECK"))</f>
        <v/>
      </c>
    </row>
    <row r="51">
      <c r="P51">
        <f>IF(A51="","",IF(AND(COUNTIF(ConnectorTypeList,D51)&gt;0,COUNTIF(SignalKindList,F51)&gt;0,COUNTIF(DecisionList,L51)&gt;0,COUNTIF(ReceiptVerbList,Q51)&gt;0,C51&lt;&gt;"",E51&lt;&gt;"",N51="Yes",COUNTIF('Artifact Registry'!$A$5:$A$200,G51)&gt;0,IF(L51="needs_review",AND(K51&lt;&gt;"",Q51="flagged_for_review",I51&lt;ReviewThreshold),AND(I51&gt;=ReviewThreshold,Q51&lt;&gt;"flagged_for_review"))),"PASS","CHECK"))</f>
        <v/>
      </c>
    </row>
    <row r="52">
      <c r="P52">
        <f>IF(A52="","",IF(AND(COUNTIF(ConnectorTypeList,D52)&gt;0,COUNTIF(SignalKindList,F52)&gt;0,COUNTIF(DecisionList,L52)&gt;0,COUNTIF(ReceiptVerbList,Q52)&gt;0,C52&lt;&gt;"",E52&lt;&gt;"",N52="Yes",COUNTIF('Artifact Registry'!$A$5:$A$200,G52)&gt;0,IF(L52="needs_review",AND(K52&lt;&gt;"",Q52="flagged_for_review",I52&lt;ReviewThreshold),AND(I52&gt;=ReviewThreshold,Q52&lt;&gt;"flagged_for_review"))),"PASS","CHECK"))</f>
        <v/>
      </c>
    </row>
    <row r="53">
      <c r="P53">
        <f>IF(A53="","",IF(AND(COUNTIF(ConnectorTypeList,D53)&gt;0,COUNTIF(SignalKindList,F53)&gt;0,COUNTIF(DecisionList,L53)&gt;0,COUNTIF(ReceiptVerbList,Q53)&gt;0,C53&lt;&gt;"",E53&lt;&gt;"",N53="Yes",COUNTIF('Artifact Registry'!$A$5:$A$200,G53)&gt;0,IF(L53="needs_review",AND(K53&lt;&gt;"",Q53="flagged_for_review",I53&lt;ReviewThreshold),AND(I53&gt;=ReviewThreshold,Q53&lt;&gt;"flagged_for_review"))),"PASS","CHECK"))</f>
        <v/>
      </c>
    </row>
    <row r="54">
      <c r="P54">
        <f>IF(A54="","",IF(AND(COUNTIF(ConnectorTypeList,D54)&gt;0,COUNTIF(SignalKindList,F54)&gt;0,COUNTIF(DecisionList,L54)&gt;0,COUNTIF(ReceiptVerbList,Q54)&gt;0,C54&lt;&gt;"",E54&lt;&gt;"",N54="Yes",COUNTIF('Artifact Registry'!$A$5:$A$200,G54)&gt;0,IF(L54="needs_review",AND(K54&lt;&gt;"",Q54="flagged_for_review",I54&lt;ReviewThreshold),AND(I54&gt;=ReviewThreshold,Q54&lt;&gt;"flagged_for_review"))),"PASS","CHECK"))</f>
        <v/>
      </c>
    </row>
    <row r="55">
      <c r="P55">
        <f>IF(A55="","",IF(AND(COUNTIF(ConnectorTypeList,D55)&gt;0,COUNTIF(SignalKindList,F55)&gt;0,COUNTIF(DecisionList,L55)&gt;0,COUNTIF(ReceiptVerbList,Q55)&gt;0,C55&lt;&gt;"",E55&lt;&gt;"",N55="Yes",COUNTIF('Artifact Registry'!$A$5:$A$200,G55)&gt;0,IF(L55="needs_review",AND(K55&lt;&gt;"",Q55="flagged_for_review",I55&lt;ReviewThreshold),AND(I55&gt;=ReviewThreshold,Q55&lt;&gt;"flagged_for_review"))),"PASS","CHECK"))</f>
        <v/>
      </c>
    </row>
    <row r="56">
      <c r="P56">
        <f>IF(A56="","",IF(AND(COUNTIF(ConnectorTypeList,D56)&gt;0,COUNTIF(SignalKindList,F56)&gt;0,COUNTIF(DecisionList,L56)&gt;0,COUNTIF(ReceiptVerbList,Q56)&gt;0,C56&lt;&gt;"",E56&lt;&gt;"",N56="Yes",COUNTIF('Artifact Registry'!$A$5:$A$200,G56)&gt;0,IF(L56="needs_review",AND(K56&lt;&gt;"",Q56="flagged_for_review",I56&lt;ReviewThreshold),AND(I56&gt;=ReviewThreshold,Q56&lt;&gt;"flagged_for_review"))),"PASS","CHECK"))</f>
        <v/>
      </c>
    </row>
    <row r="57">
      <c r="P57">
        <f>IF(A57="","",IF(AND(COUNTIF(ConnectorTypeList,D57)&gt;0,COUNTIF(SignalKindList,F57)&gt;0,COUNTIF(DecisionList,L57)&gt;0,COUNTIF(ReceiptVerbList,Q57)&gt;0,C57&lt;&gt;"",E57&lt;&gt;"",N57="Yes",COUNTIF('Artifact Registry'!$A$5:$A$200,G57)&gt;0,IF(L57="needs_review",AND(K57&lt;&gt;"",Q57="flagged_for_review",I57&lt;ReviewThreshold),AND(I57&gt;=ReviewThreshold,Q57&lt;&gt;"flagged_for_review"))),"PASS","CHECK"))</f>
        <v/>
      </c>
    </row>
    <row r="58">
      <c r="P58">
        <f>IF(A58="","",IF(AND(COUNTIF(ConnectorTypeList,D58)&gt;0,COUNTIF(SignalKindList,F58)&gt;0,COUNTIF(DecisionList,L58)&gt;0,COUNTIF(ReceiptVerbList,Q58)&gt;0,C58&lt;&gt;"",E58&lt;&gt;"",N58="Yes",COUNTIF('Artifact Registry'!$A$5:$A$200,G58)&gt;0,IF(L58="needs_review",AND(K58&lt;&gt;"",Q58="flagged_for_review",I58&lt;ReviewThreshold),AND(I58&gt;=ReviewThreshold,Q58&lt;&gt;"flagged_for_review"))),"PASS","CHECK"))</f>
        <v/>
      </c>
    </row>
    <row r="59">
      <c r="P59">
        <f>IF(A59="","",IF(AND(COUNTIF(ConnectorTypeList,D59)&gt;0,COUNTIF(SignalKindList,F59)&gt;0,COUNTIF(DecisionList,L59)&gt;0,COUNTIF(ReceiptVerbList,Q59)&gt;0,C59&lt;&gt;"",E59&lt;&gt;"",N59="Yes",COUNTIF('Artifact Registry'!$A$5:$A$200,G59)&gt;0,IF(L59="needs_review",AND(K59&lt;&gt;"",Q59="flagged_for_review",I59&lt;ReviewThreshold),AND(I59&gt;=ReviewThreshold,Q59&lt;&gt;"flagged_for_review"))),"PASS","CHECK"))</f>
        <v/>
      </c>
    </row>
    <row r="60">
      <c r="P60">
        <f>IF(A60="","",IF(AND(COUNTIF(ConnectorTypeList,D60)&gt;0,COUNTIF(SignalKindList,F60)&gt;0,COUNTIF(DecisionList,L60)&gt;0,COUNTIF(ReceiptVerbList,Q60)&gt;0,C60&lt;&gt;"",E60&lt;&gt;"",N60="Yes",COUNTIF('Artifact Registry'!$A$5:$A$200,G60)&gt;0,IF(L60="needs_review",AND(K60&lt;&gt;"",Q60="flagged_for_review",I60&lt;ReviewThreshold),AND(I60&gt;=ReviewThreshold,Q60&lt;&gt;"flagged_for_review"))),"PASS","CHECK"))</f>
        <v/>
      </c>
    </row>
    <row r="63">
      <c r="A63" t="inlineStr">
        <is>
          <t>A held signal must carry Missing Evidence, the verb flagged_for_review, and confidence below REVIEW_THRESHOLD (Control!B55, mirrored from golden-path/src/connector.js). A placed signal must be at or above threshold. Valid? enforces all three.</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cols>
    <col width="14" customWidth="1" min="1" max="1"/>
    <col width="17" customWidth="1" min="2" max="2"/>
    <col width="16" customWidth="1" min="3" max="3"/>
    <col width="25" customWidth="1" min="4" max="4"/>
    <col width="46" customWidth="1" min="5" max="5"/>
    <col width="38" customWidth="1" min="6" max="6"/>
    <col width="13" customWidth="1" min="7" max="7"/>
    <col width="14" customWidth="1" min="8" max="8"/>
    <col width="20" customWidth="1" min="9" max="9"/>
    <col width="34" customWidth="1" min="10" max="10"/>
    <col width="14" customWidth="1" min="11" max="11"/>
    <col width="17" customWidth="1" min="12" max="12"/>
    <col width="11" customWidth="1" min="13" max="13"/>
    <col width="28" customWidth="1" min="14" max="14"/>
  </cols>
  <sheetData>
    <row r="1">
      <c r="A1" s="12" t="inlineStr">
        <is>
          <t>Review Queue — PJ did not guess</t>
        </is>
      </c>
    </row>
    <row r="2">
      <c r="A2" s="13" t="inlineStr">
        <is>
          <t>A held signal is resolved by a person. The resolution emits a second receipt linked to the first.</t>
        </is>
      </c>
    </row>
    <row r="4">
      <c r="A4" s="14" t="inlineStr">
        <is>
          <t>Review ID</t>
        </is>
      </c>
      <c r="B4" s="14" t="inlineStr">
        <is>
          <t>Signal ID</t>
        </is>
      </c>
      <c r="C4" s="14" t="inlineStr">
        <is>
          <t>Prior Receipt ID</t>
        </is>
      </c>
      <c r="D4" s="14" t="inlineStr">
        <is>
          <t>Artifact ID</t>
        </is>
      </c>
      <c r="E4" s="14" t="inlineStr">
        <is>
          <t>Held reason</t>
        </is>
      </c>
      <c r="F4" s="14" t="inlineStr">
        <is>
          <t>Missing evidence</t>
        </is>
      </c>
      <c r="G4" s="14" t="inlineStr">
        <is>
          <t>Resolution</t>
        </is>
      </c>
      <c r="H4" s="14" t="inlineStr">
        <is>
          <t>Case ID</t>
        </is>
      </c>
      <c r="I4" s="14" t="inlineStr">
        <is>
          <t>Resolved by (role)</t>
        </is>
      </c>
      <c r="J4" s="14" t="inlineStr">
        <is>
          <t>Resolution reason</t>
        </is>
      </c>
      <c r="K4" s="14" t="inlineStr">
        <is>
          <t>Resolved date</t>
        </is>
      </c>
      <c r="L4" s="14" t="inlineStr">
        <is>
          <t>Second Receipt ID</t>
        </is>
      </c>
      <c r="M4" s="14" t="inlineStr">
        <is>
          <t>Status</t>
        </is>
      </c>
      <c r="N4" s="14" t="inlineStr">
        <is>
          <t>Second Receipt Verb</t>
        </is>
      </c>
    </row>
    <row r="5">
      <c r="A5" t="inlineStr">
        <is>
          <t>REV-000001</t>
        </is>
      </c>
      <c r="B5" t="inlineStr">
        <is>
          <t>SIG-2026-000003</t>
        </is>
      </c>
      <c r="C5" t="inlineStr">
        <is>
          <t>RCPT-000003</t>
        </is>
      </c>
      <c r="D5" t="inlineStr">
        <is>
          <t>PL-STAY-SIG-2026-00001</t>
        </is>
      </c>
      <c r="E5" t="inlineStr">
        <is>
          <t>No thread hint, reservation ID, guest email match, or date match found</t>
        </is>
      </c>
      <c r="F5" t="inlineStr">
        <is>
          <t>reservation_id; guest_email_match; stay_date_match</t>
        </is>
      </c>
      <c r="K5" s="22" t="n"/>
      <c r="M5">
        <f>IF(A5="","",IF(AND(G5&lt;&gt;"",I5&lt;&gt;"",L5&lt;&gt;"",N5&lt;&gt;""),"Resolved","Open"))</f>
        <v/>
      </c>
    </row>
    <row r="6">
      <c r="K6" s="22" t="n"/>
      <c r="M6">
        <f>IF(A6="","",IF(AND(G6&lt;&gt;"",I6&lt;&gt;"",L6&lt;&gt;"",N6&lt;&gt;""),"Resolved","Open"))</f>
        <v/>
      </c>
    </row>
    <row r="7">
      <c r="K7" s="22" t="n"/>
      <c r="M7">
        <f>IF(A7="","",IF(AND(G7&lt;&gt;"",I7&lt;&gt;"",L7&lt;&gt;"",N7&lt;&gt;""),"Resolved","Open"))</f>
        <v/>
      </c>
    </row>
    <row r="8">
      <c r="K8" s="22" t="n"/>
      <c r="M8">
        <f>IF(A8="","",IF(AND(G8&lt;&gt;"",I8&lt;&gt;"",L8&lt;&gt;"",N8&lt;&gt;""),"Resolved","Open"))</f>
        <v/>
      </c>
    </row>
    <row r="9">
      <c r="K9" s="22" t="n"/>
      <c r="M9">
        <f>IF(A9="","",IF(AND(G9&lt;&gt;"",I9&lt;&gt;"",L9&lt;&gt;"",N9&lt;&gt;""),"Resolved","Open"))</f>
        <v/>
      </c>
    </row>
    <row r="10">
      <c r="K10" s="22" t="n"/>
      <c r="M10">
        <f>IF(A10="","",IF(AND(G10&lt;&gt;"",I10&lt;&gt;"",L10&lt;&gt;"",N10&lt;&gt;""),"Resolved","Open"))</f>
        <v/>
      </c>
    </row>
    <row r="11">
      <c r="K11" s="22" t="n"/>
      <c r="M11">
        <f>IF(A11="","",IF(AND(G11&lt;&gt;"",I11&lt;&gt;"",L11&lt;&gt;"",N11&lt;&gt;""),"Resolved","Open"))</f>
        <v/>
      </c>
    </row>
    <row r="12">
      <c r="K12" s="22" t="n"/>
      <c r="M12">
        <f>IF(A12="","",IF(AND(G12&lt;&gt;"",I12&lt;&gt;"",L12&lt;&gt;"",N12&lt;&gt;""),"Resolved","Open"))</f>
        <v/>
      </c>
    </row>
    <row r="13">
      <c r="K13" s="22" t="n"/>
      <c r="M13">
        <f>IF(A13="","",IF(AND(G13&lt;&gt;"",I13&lt;&gt;"",L13&lt;&gt;"",N13&lt;&gt;""),"Resolved","Open"))</f>
        <v/>
      </c>
    </row>
    <row r="14">
      <c r="K14" s="22" t="n"/>
      <c r="M14">
        <f>IF(A14="","",IF(AND(G14&lt;&gt;"",I14&lt;&gt;"",L14&lt;&gt;"",N14&lt;&gt;""),"Resolved","Open"))</f>
        <v/>
      </c>
    </row>
    <row r="15">
      <c r="K15" s="22" t="n"/>
      <c r="M15">
        <f>IF(A15="","",IF(AND(G15&lt;&gt;"",I15&lt;&gt;"",L15&lt;&gt;"",N15&lt;&gt;""),"Resolved","Open"))</f>
        <v/>
      </c>
    </row>
    <row r="16">
      <c r="K16" s="22" t="n"/>
      <c r="M16">
        <f>IF(A16="","",IF(AND(G16&lt;&gt;"",I16&lt;&gt;"",L16&lt;&gt;"",N16&lt;&gt;""),"Resolved","Open"))</f>
        <v/>
      </c>
    </row>
    <row r="17">
      <c r="K17" s="22" t="n"/>
      <c r="M17">
        <f>IF(A17="","",IF(AND(G17&lt;&gt;"",I17&lt;&gt;"",L17&lt;&gt;"",N17&lt;&gt;""),"Resolved","Open"))</f>
        <v/>
      </c>
    </row>
    <row r="18">
      <c r="K18" s="22" t="n"/>
      <c r="M18">
        <f>IF(A18="","",IF(AND(G18&lt;&gt;"",I18&lt;&gt;"",L18&lt;&gt;"",N18&lt;&gt;""),"Resolved","Open"))</f>
        <v/>
      </c>
    </row>
    <row r="19">
      <c r="K19" s="22" t="n"/>
      <c r="M19">
        <f>IF(A19="","",IF(AND(G19&lt;&gt;"",I19&lt;&gt;"",L19&lt;&gt;"",N19&lt;&gt;""),"Resolved","Open"))</f>
        <v/>
      </c>
    </row>
    <row r="20">
      <c r="K20" s="22" t="n"/>
      <c r="M20">
        <f>IF(A20="","",IF(AND(G20&lt;&gt;"",I20&lt;&gt;"",L20&lt;&gt;"",N20&lt;&gt;""),"Resolved","Open"))</f>
        <v/>
      </c>
    </row>
    <row r="21">
      <c r="K21" s="22" t="n"/>
      <c r="M21">
        <f>IF(A21="","",IF(AND(G21&lt;&gt;"",I21&lt;&gt;"",L21&lt;&gt;"",N21&lt;&gt;""),"Resolved","Open"))</f>
        <v/>
      </c>
    </row>
    <row r="22">
      <c r="K22" s="22" t="n"/>
      <c r="M22">
        <f>IF(A22="","",IF(AND(G22&lt;&gt;"",I22&lt;&gt;"",L22&lt;&gt;"",N22&lt;&gt;""),"Resolved","Open"))</f>
        <v/>
      </c>
    </row>
    <row r="23">
      <c r="K23" s="22" t="n"/>
      <c r="M23">
        <f>IF(A23="","",IF(AND(G23&lt;&gt;"",I23&lt;&gt;"",L23&lt;&gt;"",N23&lt;&gt;""),"Resolved","Open"))</f>
        <v/>
      </c>
    </row>
    <row r="24">
      <c r="K24" s="22" t="n"/>
      <c r="M24">
        <f>IF(A24="","",IF(AND(G24&lt;&gt;"",I24&lt;&gt;"",L24&lt;&gt;"",N24&lt;&gt;""),"Resolved","Open"))</f>
        <v/>
      </c>
    </row>
    <row r="25">
      <c r="K25" s="22" t="n"/>
      <c r="M25">
        <f>IF(A25="","",IF(AND(G25&lt;&gt;"",I25&lt;&gt;"",L25&lt;&gt;"",N25&lt;&gt;""),"Resolved","Open"))</f>
        <v/>
      </c>
    </row>
    <row r="26">
      <c r="K26" s="22" t="n"/>
      <c r="M26">
        <f>IF(A26="","",IF(AND(G26&lt;&gt;"",I26&lt;&gt;"",L26&lt;&gt;"",N26&lt;&gt;""),"Resolved","Open"))</f>
        <v/>
      </c>
    </row>
    <row r="27">
      <c r="K27" s="22" t="n"/>
      <c r="M27">
        <f>IF(A27="","",IF(AND(G27&lt;&gt;"",I27&lt;&gt;"",L27&lt;&gt;"",N27&lt;&gt;""),"Resolved","Open"))</f>
        <v/>
      </c>
    </row>
    <row r="28">
      <c r="K28" s="22" t="n"/>
      <c r="M28">
        <f>IF(A28="","",IF(AND(G28&lt;&gt;"",I28&lt;&gt;"",L28&lt;&gt;"",N28&lt;&gt;""),"Resolved","Open"))</f>
        <v/>
      </c>
    </row>
    <row r="29">
      <c r="K29" s="22" t="n"/>
      <c r="M29">
        <f>IF(A29="","",IF(AND(G29&lt;&gt;"",I29&lt;&gt;"",L29&lt;&gt;"",N29&lt;&gt;""),"Resolved","Open"))</f>
        <v/>
      </c>
    </row>
    <row r="30">
      <c r="K30" s="22" t="n"/>
      <c r="M30">
        <f>IF(A30="","",IF(AND(G30&lt;&gt;"",I30&lt;&gt;"",L30&lt;&gt;"",N30&lt;&gt;""),"Resolved","Open"))</f>
        <v/>
      </c>
    </row>
    <row r="31">
      <c r="K31" s="22" t="n"/>
      <c r="M31">
        <f>IF(A31="","",IF(AND(G31&lt;&gt;"",I31&lt;&gt;"",L31&lt;&gt;"",N31&lt;&gt;""),"Resolved","Open"))</f>
        <v/>
      </c>
    </row>
    <row r="32">
      <c r="K32" s="22" t="n"/>
      <c r="M32">
        <f>IF(A32="","",IF(AND(G32&lt;&gt;"",I32&lt;&gt;"",L32&lt;&gt;"",N32&lt;&gt;""),"Resolved","Open"))</f>
        <v/>
      </c>
    </row>
    <row r="33">
      <c r="K33" s="22" t="n"/>
      <c r="M33">
        <f>IF(A33="","",IF(AND(G33&lt;&gt;"",I33&lt;&gt;"",L33&lt;&gt;"",N33&lt;&gt;""),"Resolved","Open"))</f>
        <v/>
      </c>
    </row>
    <row r="34">
      <c r="K34" s="22" t="n"/>
      <c r="M34">
        <f>IF(A34="","",IF(AND(G34&lt;&gt;"",I34&lt;&gt;"",L34&lt;&gt;"",N34&lt;&gt;""),"Resolved","Open"))</f>
        <v/>
      </c>
    </row>
    <row r="35">
      <c r="K35" s="22" t="n"/>
      <c r="M35">
        <f>IF(A35="","",IF(AND(G35&lt;&gt;"",I35&lt;&gt;"",L35&lt;&gt;"",N35&lt;&gt;""),"Resolved","Open"))</f>
        <v/>
      </c>
    </row>
    <row r="36">
      <c r="K36" s="22" t="n"/>
      <c r="M36">
        <f>IF(A36="","",IF(AND(G36&lt;&gt;"",I36&lt;&gt;"",L36&lt;&gt;"",N36&lt;&gt;""),"Resolved","Open"))</f>
        <v/>
      </c>
    </row>
    <row r="37">
      <c r="K37" s="22" t="n"/>
      <c r="M37">
        <f>IF(A37="","",IF(AND(G37&lt;&gt;"",I37&lt;&gt;"",L37&lt;&gt;"",N37&lt;&gt;""),"Resolved","Open"))</f>
        <v/>
      </c>
    </row>
    <row r="38">
      <c r="K38" s="22" t="n"/>
      <c r="M38">
        <f>IF(A38="","",IF(AND(G38&lt;&gt;"",I38&lt;&gt;"",L38&lt;&gt;"",N38&lt;&gt;""),"Resolved","Open"))</f>
        <v/>
      </c>
    </row>
    <row r="39">
      <c r="K39" s="22" t="n"/>
      <c r="M39">
        <f>IF(A39="","",IF(AND(G39&lt;&gt;"",I39&lt;&gt;"",L39&lt;&gt;"",N39&lt;&gt;""),"Resolved","Open"))</f>
        <v/>
      </c>
    </row>
    <row r="40">
      <c r="K40" s="22" t="n"/>
      <c r="M40">
        <f>IF(A40="","",IF(AND(G40&lt;&gt;"",I40&lt;&gt;"",L40&lt;&gt;"",N40&lt;&gt;""),"Resolved","Open"))</f>
        <v/>
      </c>
    </row>
    <row r="43">
      <c r="A43" t="inlineStr">
        <is>
          <t>Resolving an item requires Resolution, Resolved by, and a Second Receipt ID. Then log a SignalResolved event citing the prior receipt. Never overwrite the first receipt.</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0" customWidth="1" min="1" max="1"/>
    <col width="34" customWidth="1" min="2" max="2"/>
    <col width="42" customWidth="1" min="3" max="3"/>
    <col width="18" customWidth="1" min="4" max="4"/>
    <col width="16" customWidth="1" min="5" max="5"/>
    <col width="48" customWidth="1" min="6" max="6"/>
  </cols>
  <sheetData>
    <row r="1">
      <c r="A1" s="8" t="inlineStr">
        <is>
          <t>Sources</t>
        </is>
      </c>
    </row>
    <row r="2">
      <c r="A2" s="2" t="inlineStr">
        <is>
          <t>Systems of record own truth. PJ observes changes and normalizes event facts.</t>
        </is>
      </c>
    </row>
    <row r="4">
      <c r="A4" s="3" t="inlineStr">
        <is>
          <t>Source System</t>
        </is>
      </c>
      <c r="B4" s="3" t="inlineStr">
        <is>
          <t>Owns Truth For</t>
        </is>
      </c>
      <c r="C4" s="3" t="inlineStr">
        <is>
          <t>Observed Changes</t>
        </is>
      </c>
      <c r="D4" s="3" t="inlineStr">
        <is>
          <t>Identity Delegated?</t>
        </is>
      </c>
      <c r="E4" s="3" t="inlineStr">
        <is>
          <t>PJ Writes Back?</t>
        </is>
      </c>
      <c r="F4" s="3" t="inlineStr">
        <is>
          <t>Adapter Notes</t>
        </is>
      </c>
    </row>
    <row r="5">
      <c r="A5" s="10" t="inlineStr">
        <is>
          <t>Excel Workbook</t>
        </is>
      </c>
      <c r="B5" s="10" t="inlineStr">
        <is>
          <t>Taxonomy, module registry, trackers</t>
        </is>
      </c>
      <c r="C5" s="10" t="inlineStr">
        <is>
          <t>Cell/row status changes; artifact metadata updates</t>
        </is>
      </c>
      <c r="D5" s="10" t="inlineStr">
        <is>
          <t>Yes</t>
        </is>
      </c>
      <c r="E5" s="10" t="inlineStr">
        <is>
          <t>No</t>
        </is>
      </c>
      <c r="F5" s="10" t="inlineStr">
        <is>
          <t>Best for small towns and fast prototyping.</t>
        </is>
      </c>
    </row>
    <row r="6">
      <c r="A6" s="10" t="inlineStr">
        <is>
          <t>GitHub</t>
        </is>
      </c>
      <c r="B6" s="10" t="inlineStr">
        <is>
          <t>Code, specs, doctrine, versioned text</t>
        </is>
      </c>
      <c r="C6" s="10" t="inlineStr">
        <is>
          <t>Commit, PR, issue, release, file changes</t>
        </is>
      </c>
      <c r="D6" s="10" t="inlineStr">
        <is>
          <t>Yes</t>
        </is>
      </c>
      <c r="E6" s="10" t="inlineStr">
        <is>
          <t>No</t>
        </is>
      </c>
      <c r="F6" s="10" t="inlineStr">
        <is>
          <t>Supports PuddleJumper canon and product development.</t>
        </is>
      </c>
    </row>
    <row r="7">
      <c r="A7" s="10" t="inlineStr">
        <is>
          <t>Google Workspace</t>
        </is>
      </c>
      <c r="B7" s="10" t="inlineStr">
        <is>
          <t>Docs, Sheets, Drive evidence</t>
        </is>
      </c>
      <c r="C7" s="10" t="inlineStr">
        <is>
          <t>File created/modified/shared/approved</t>
        </is>
      </c>
      <c r="D7" s="10" t="inlineStr">
        <is>
          <t>Yes</t>
        </is>
      </c>
      <c r="E7" s="10" t="inlineStr">
        <is>
          <t>No</t>
        </is>
      </c>
      <c r="F7" s="10" t="inlineStr">
        <is>
          <t>Can watch Drive metadata and document lifecycle events.</t>
        </is>
      </c>
    </row>
    <row r="8">
      <c r="A8" s="10" t="inlineStr">
        <is>
          <t>Microsoft 365</t>
        </is>
      </c>
      <c r="B8" s="10" t="inlineStr">
        <is>
          <t>SharePoint, Teams, Outlook records</t>
        </is>
      </c>
      <c r="C8" s="10" t="inlineStr">
        <is>
          <t>Document status, emails, approvals, file moves</t>
        </is>
      </c>
      <c r="D8" s="10" t="inlineStr">
        <is>
          <t>Yes</t>
        </is>
      </c>
      <c r="E8" s="10" t="inlineStr">
        <is>
          <t>No</t>
        </is>
      </c>
      <c r="F8" s="10" t="inlineStr">
        <is>
          <t>Likely municipal enterprise identity backbone.</t>
        </is>
      </c>
    </row>
    <row r="9">
      <c r="A9" s="10" t="inlineStr">
        <is>
          <t>CivicPlus</t>
        </is>
      </c>
      <c r="B9" s="10" t="inlineStr">
        <is>
          <t>Municipal web content and public pages</t>
        </is>
      </c>
      <c r="C9" s="10" t="inlineStr">
        <is>
          <t>Public record publication, page update, file upload</t>
        </is>
      </c>
      <c r="D9" s="10" t="inlineStr">
        <is>
          <t>Yes</t>
        </is>
      </c>
      <c r="E9" s="10" t="inlineStr">
        <is>
          <t>No</t>
        </is>
      </c>
      <c r="F9" s="10" t="inlineStr">
        <is>
          <t>PJ observes public-facing governance signals.</t>
        </is>
      </c>
    </row>
    <row r="10">
      <c r="A10" s="10" t="inlineStr">
        <is>
          <t>CaseSpace</t>
        </is>
      </c>
      <c r="B10" s="10" t="inlineStr">
        <is>
          <t>Active work context</t>
        </is>
      </c>
      <c r="C10" s="10" t="inlineStr">
        <is>
          <t>Task transitions, owner changes, evidence gaps</t>
        </is>
      </c>
      <c r="D10" s="10" t="inlineStr">
        <is>
          <t>Yes</t>
        </is>
      </c>
      <c r="E10" s="10" t="inlineStr">
        <is>
          <t>Optional adapter</t>
        </is>
      </c>
      <c r="F10" s="10" t="inlineStr">
        <is>
          <t>CaseSpace can subscribe to PJ and also publish events.</t>
        </is>
      </c>
    </row>
    <row r="11">
      <c r="A11" s="10" t="inlineStr">
        <is>
          <t>ARCHIEVE</t>
        </is>
      </c>
      <c r="B11" s="10" t="inlineStr">
        <is>
          <t>Final record/memory layer</t>
        </is>
      </c>
      <c r="C11" s="10" t="inlineStr">
        <is>
          <t>Snapshot created, retention event, transfer packet</t>
        </is>
      </c>
      <c r="D11" s="10" t="inlineStr">
        <is>
          <t>Yes</t>
        </is>
      </c>
      <c r="E11" s="10" t="inlineStr">
        <is>
          <t>Optional adapter</t>
        </is>
      </c>
      <c r="F11" s="10" t="inlineStr">
        <is>
          <t>ARCHIEVE is memory; PJ is observation.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0" customWidth="1" min="1" max="1"/>
    <col width="42" customWidth="1" min="2" max="2"/>
    <col width="44" customWidth="1" min="3" max="3"/>
    <col width="20" customWidth="1" min="4" max="4"/>
    <col width="14" customWidth="1" min="5" max="5"/>
    <col width="48" customWidth="1" min="6" max="6"/>
  </cols>
  <sheetData>
    <row r="1">
      <c r="A1" s="8" t="inlineStr">
        <is>
          <t>Consumers</t>
        </is>
      </c>
    </row>
    <row r="2">
      <c r="A2" s="2" t="inlineStr">
        <is>
          <t>Subscribers decide behavior. PJ publishes governed facts; consumers act independently.</t>
        </is>
      </c>
    </row>
    <row r="4">
      <c r="A4" s="3" t="inlineStr">
        <is>
          <t>Consumer</t>
        </is>
      </c>
      <c r="B4" s="3" t="inlineStr">
        <is>
          <t>Consumes Events</t>
        </is>
      </c>
      <c r="C4" s="3" t="inlineStr">
        <is>
          <t>Action Owned By Consumer</t>
        </is>
      </c>
      <c r="D4" s="3" t="inlineStr">
        <is>
          <t>Default Channel</t>
        </is>
      </c>
      <c r="E4" s="3" t="inlineStr">
        <is>
          <t>Criticality</t>
        </is>
      </c>
      <c r="F4" s="3" t="inlineStr">
        <is>
          <t>Notes</t>
        </is>
      </c>
    </row>
    <row r="5">
      <c r="A5" s="10" t="inlineStr">
        <is>
          <t>CaseSpace</t>
        </is>
      </c>
      <c r="B5" s="10" t="inlineStr">
        <is>
          <t>LifecycleAdvanced, ArtifactTransferred, EvidenceGapDetected</t>
        </is>
      </c>
      <c r="C5" s="10" t="inlineStr">
        <is>
          <t>Update work item/status/owner</t>
        </is>
      </c>
      <c r="D5" s="10" t="inlineStr">
        <is>
          <t>Internal workspace</t>
        </is>
      </c>
      <c r="E5" s="10" t="inlineStr">
        <is>
          <t>High</t>
        </is>
      </c>
      <c r="F5" s="10" t="inlineStr">
        <is>
          <t>Operational work remains in CaseSpace.</t>
        </is>
      </c>
    </row>
    <row r="6">
      <c r="A6" s="10" t="inlineStr">
        <is>
          <t>ARCHIEVE</t>
        </is>
      </c>
      <c r="B6" s="10" t="inlineStr">
        <is>
          <t>ArtifactArchived, ArtifactIssued, RetentionTriggered</t>
        </is>
      </c>
      <c r="C6" s="10" t="inlineStr">
        <is>
          <t>Index record, preserve snapshot, start retention</t>
        </is>
      </c>
      <c r="D6" s="10" t="inlineStr">
        <is>
          <t>Archive ledger</t>
        </is>
      </c>
      <c r="E6" s="10" t="inlineStr">
        <is>
          <t>High</t>
        </is>
      </c>
      <c r="F6" s="10" t="inlineStr">
        <is>
          <t>Memory and recordkeeping are separate from PJ.</t>
        </is>
      </c>
    </row>
    <row r="7">
      <c r="A7" s="10" t="inlineStr">
        <is>
          <t>Email Alerts</t>
        </is>
      </c>
      <c r="B7" s="10" t="inlineStr">
        <is>
          <t>ArtifactApproved, ArtifactIssued, EvidenceGapDetected, AuthorityChanged</t>
        </is>
      </c>
      <c r="C7" s="10" t="inlineStr">
        <is>
          <t>Notify named role(s)</t>
        </is>
      </c>
      <c r="D7" s="10" t="inlineStr">
        <is>
          <t>Email</t>
        </is>
      </c>
      <c r="E7" s="10" t="inlineStr">
        <is>
          <t>Medium</t>
        </is>
      </c>
      <c r="F7" s="10" t="inlineStr">
        <is>
          <t>Human alerting is a subscriber behavior, not PJ core logic.</t>
        </is>
      </c>
    </row>
    <row r="8">
      <c r="A8" s="10" t="inlineStr">
        <is>
          <t>Slack/Teams</t>
        </is>
      </c>
      <c r="B8" s="10" t="inlineStr">
        <is>
          <t>ModuleReady, LifecycleAdvanced, EvidenceGapDetected</t>
        </is>
      </c>
      <c r="C8" s="10" t="inlineStr">
        <is>
          <t>Post concise operational signal</t>
        </is>
      </c>
      <c r="D8" s="10" t="inlineStr">
        <is>
          <t>Teams/Slack</t>
        </is>
      </c>
      <c r="E8" s="10" t="inlineStr">
        <is>
          <t>Medium</t>
        </is>
      </c>
      <c r="F8" s="10" t="inlineStr">
        <is>
          <t>Optional collaboration adapter.</t>
        </is>
      </c>
    </row>
    <row r="9">
      <c r="A9" s="10" t="inlineStr">
        <is>
          <t>Dashboard</t>
        </is>
      </c>
      <c r="B9" s="10" t="inlineStr">
        <is>
          <t>ArtifactModified, LifecycleAdvanced, ModuleReady, EvidenceGapDetected</t>
        </is>
      </c>
      <c r="C9" s="10" t="inlineStr">
        <is>
          <t>Refresh summary counts and risk indicators</t>
        </is>
      </c>
      <c r="D9" s="10" t="inlineStr">
        <is>
          <t>Workbook/dashboard</t>
        </is>
      </c>
      <c r="E9" s="10" t="inlineStr">
        <is>
          <t>Medium</t>
        </is>
      </c>
      <c r="F9" s="10" t="inlineStr">
        <is>
          <t>Dashboards read events and registry state.</t>
        </is>
      </c>
    </row>
    <row r="10">
      <c r="A10" s="10" t="inlineStr">
        <is>
          <t>Audit Log</t>
        </is>
      </c>
      <c r="B10" s="10" t="inlineStr">
        <is>
          <t>All events</t>
        </is>
      </c>
      <c r="C10" s="10" t="inlineStr">
        <is>
          <t>Append immutable event record</t>
        </is>
      </c>
      <c r="D10" s="10" t="inlineStr">
        <is>
          <t>Ledger</t>
        </is>
      </c>
      <c r="E10" s="10" t="inlineStr">
        <is>
          <t>High</t>
        </is>
      </c>
      <c r="F10" s="10" t="inlineStr">
        <is>
          <t>Audit is append-only; no workflow decisions.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2" customWidth="1" min="1" max="1"/>
    <col width="45" customWidth="1" min="2" max="2"/>
    <col width="14" customWidth="1" min="3" max="3"/>
    <col width="12" customWidth="1" min="4" max="4"/>
    <col width="20" customWidth="1" min="5" max="5"/>
  </cols>
  <sheetData>
    <row r="1">
      <c r="A1" s="8" t="inlineStr">
        <is>
          <t>Validation</t>
        </is>
      </c>
    </row>
    <row r="2">
      <c r="A2" s="2" t="inlineStr">
        <is>
          <t>Self-auditing checks for taxonomy, event vocabulary, artifact metadata, and lifecycle doctrine.</t>
        </is>
      </c>
    </row>
    <row r="4">
      <c r="A4" s="3" t="inlineStr">
        <is>
          <t>Check</t>
        </is>
      </c>
      <c r="B4" s="3" t="inlineStr">
        <is>
          <t>Formula / Value</t>
        </is>
      </c>
      <c r="C4" s="3" t="inlineStr">
        <is>
          <t>Expected</t>
        </is>
      </c>
      <c r="D4" s="3" t="inlineStr">
        <is>
          <t>Signal</t>
        </is>
      </c>
      <c r="E4" s="3" t="inlineStr">
        <is>
          <t>Owner</t>
        </is>
      </c>
    </row>
    <row r="5">
      <c r="A5" s="10" t="inlineStr">
        <is>
          <t>Missing Artifact ID</t>
        </is>
      </c>
      <c r="B5" s="10">
        <f>COUNTIFS('Artifact Registry'!B5:B200,"&lt;&gt;",'Artifact Registry'!A5:A200,"")</f>
        <v/>
      </c>
      <c r="C5" s="10" t="n">
        <v>0</v>
      </c>
      <c r="D5" s="10">
        <f>IF(B5=C5,"OK","CHECK")</f>
        <v/>
      </c>
      <c r="E5" s="10" t="inlineStr">
        <is>
          <t>Product Owner</t>
        </is>
      </c>
    </row>
    <row r="6">
      <c r="A6" s="10" t="inlineStr">
        <is>
          <t>Missing Family</t>
        </is>
      </c>
      <c r="B6" s="10">
        <f>COUNTIFS('Artifact Registry'!A5:A200,"&lt;&gt;",'Artifact Registry'!E5:E200,"")</f>
        <v/>
      </c>
      <c r="C6" s="10" t="n">
        <v>0</v>
      </c>
      <c r="D6" s="10">
        <f>IF(B6=C6,"OK","CHECK")</f>
        <v/>
      </c>
      <c r="E6" s="10" t="inlineStr">
        <is>
          <t>Product Owner</t>
        </is>
      </c>
    </row>
    <row r="7">
      <c r="A7" s="10" t="inlineStr">
        <is>
          <t>Missing Nature</t>
        </is>
      </c>
      <c r="B7" s="10">
        <f>COUNTIFS('Artifact Registry'!A5:A200,"&lt;&gt;",'Artifact Registry'!F5:F200,"")</f>
        <v/>
      </c>
      <c r="C7" s="10" t="n">
        <v>0</v>
      </c>
      <c r="D7" s="10">
        <f>IF(B7=C7,"OK","CHECK")</f>
        <v/>
      </c>
      <c r="E7" s="10" t="inlineStr">
        <is>
          <t>Product Owner</t>
        </is>
      </c>
    </row>
    <row r="8">
      <c r="A8" s="10" t="inlineStr">
        <is>
          <t>Missing Lifecycle</t>
        </is>
      </c>
      <c r="B8" s="10">
        <f>COUNTIFS('Artifact Registry'!A5:A200,"&lt;&gt;",'Artifact Registry'!G5:G200,"")</f>
        <v/>
      </c>
      <c r="C8" s="10" t="n">
        <v>0</v>
      </c>
      <c r="D8" s="10">
        <f>IF(B8=C8,"OK","CHECK")</f>
        <v/>
      </c>
      <c r="E8" s="10" t="inlineStr">
        <is>
          <t>Product Owner</t>
        </is>
      </c>
    </row>
    <row r="9">
      <c r="A9" s="10" t="inlineStr">
        <is>
          <t>Missing Authority</t>
        </is>
      </c>
      <c r="B9" s="10">
        <f>COUNTIFS('Artifact Registry'!A5:A200,"&lt;&gt;",'Artifact Registry'!H5:H200,"")</f>
        <v/>
      </c>
      <c r="C9" s="10" t="n">
        <v>0</v>
      </c>
      <c r="D9" s="10">
        <f>IF(B9=C9,"OK","CHECK")</f>
        <v/>
      </c>
      <c r="E9" s="10" t="inlineStr">
        <is>
          <t>Product Owner</t>
        </is>
      </c>
    </row>
    <row r="10">
      <c r="A10" s="10" t="inlineStr">
        <is>
          <t>Invalid Event Log Rows</t>
        </is>
      </c>
      <c r="B10" s="10">
        <f>SUMPRODUCT(('PJ Event Log'!A5:A200&lt;&gt;"")*('PJ Event Log'!O5:O200="CHECK"))</f>
        <v/>
      </c>
      <c r="C10" s="10" t="n">
        <v>0</v>
      </c>
      <c r="D10" s="10">
        <f>IF(B10=C10,"OK","CHECK")</f>
        <v/>
      </c>
      <c r="E10" s="10" t="inlineStr">
        <is>
          <t>PJ Owner</t>
        </is>
      </c>
    </row>
    <row r="11">
      <c r="A11" s="10" t="inlineStr">
        <is>
          <t>Unresolved Critical Events</t>
        </is>
      </c>
      <c r="B11" s="10">
        <f>COUNTIFS('PJ Event Log'!L5:L200,"Critical",'PJ Event Log'!P5:P200,"No")</f>
        <v/>
      </c>
      <c r="C11" s="10" t="n">
        <v>0</v>
      </c>
      <c r="D11" s="10">
        <f>IF(B11=C11,"OK","CHECK")</f>
        <v/>
      </c>
      <c r="E11" s="10" t="inlineStr">
        <is>
          <t>PJ Owner</t>
        </is>
      </c>
    </row>
    <row r="12">
      <c r="A12" s="10" t="inlineStr">
        <is>
          <t>Artifact Count</t>
        </is>
      </c>
      <c r="B12" s="10">
        <f>COUNTA('Artifact Registry'!B5:B200)</f>
        <v/>
      </c>
      <c r="C12" s="10" t="inlineStr">
        <is>
          <t>review</t>
        </is>
      </c>
      <c r="D12" s="10" t="inlineStr">
        <is>
          <t>INFO</t>
        </is>
      </c>
      <c r="E12" s="10" t="inlineStr">
        <is>
          <t>Product Owner</t>
        </is>
      </c>
    </row>
    <row r="13">
      <c r="A13" s="10" t="inlineStr">
        <is>
          <t>Closed Event Vocabulary Count</t>
        </is>
      </c>
      <c r="B13" s="10">
        <f>COUNTA('Event Vocabulary'!A5:A100)</f>
        <v/>
      </c>
      <c r="C13" s="10">
        <f>COUNTA(EventTypeList)</f>
        <v/>
      </c>
      <c r="D13" s="10">
        <f>IF(B13=C13,"OK","CHECK")</f>
        <v/>
      </c>
      <c r="E13" s="10" t="inlineStr">
        <is>
          <t>Product Owner</t>
        </is>
      </c>
    </row>
    <row r="14">
      <c r="A14" s="10" t="inlineStr">
        <is>
          <t>Taxonomy Family Count</t>
        </is>
      </c>
      <c r="B14" s="10">
        <f>COUNTA(Taxonomy!A5:A14)</f>
        <v/>
      </c>
      <c r="C14" s="10">
        <f>COUNTA(FamilyList)</f>
        <v/>
      </c>
      <c r="D14" s="10">
        <f>IF(B14=C14,"OK","CHECK")</f>
        <v/>
      </c>
      <c r="E14" s="10" t="inlineStr">
        <is>
          <t>Product Owner</t>
        </is>
      </c>
    </row>
    <row r="15">
      <c r="A15" t="inlineStr">
        <is>
          <t>Orphan Event Artifact IDs</t>
        </is>
      </c>
      <c r="B15">
        <f>SUMPRODUCT(--('PJ Event Log'!A5:A200&lt;&gt;""),--ISNA(MATCH('PJ Event Log'!D5:D200,'Artifact Registry'!$A$5:$A$200,0)))</f>
        <v/>
      </c>
      <c r="C15" t="n">
        <v>0</v>
      </c>
      <c r="D15">
        <f>IF(B15=C15,"OK","CHECK")</f>
        <v/>
      </c>
      <c r="E15" t="inlineStr">
        <is>
          <t>PJ Owner</t>
        </is>
      </c>
    </row>
    <row r="16">
      <c r="A16" t="inlineStr">
        <is>
          <t>Unregistered Case FORM</t>
        </is>
      </c>
      <c r="B16">
        <f>IF(Intake!B19="REGISTERED",0,1)</f>
        <v/>
      </c>
      <c r="C16" t="n">
        <v>0</v>
      </c>
      <c r="D16">
        <f>IF(B16=C16,"OK","CHECK")</f>
        <v/>
      </c>
      <c r="E16" t="inlineStr">
        <is>
          <t>Case Owner</t>
        </is>
      </c>
    </row>
    <row r="17">
      <c r="A17" t="inlineStr">
        <is>
          <t>Overdue Evidence Requests</t>
        </is>
      </c>
      <c r="B17">
        <f>COUNTIF(Documents!G10:G40,"OVERDUE")</f>
        <v/>
      </c>
      <c r="C17" t="n">
        <v>0</v>
      </c>
      <c r="D17">
        <f>IF(B17=C17,"OK","CHECK")</f>
        <v/>
      </c>
      <c r="E17" t="inlineStr">
        <is>
          <t>Case Owner</t>
        </is>
      </c>
    </row>
    <row r="18">
      <c r="A18" t="inlineStr">
        <is>
          <t>PRM Items Blocking Closeout</t>
        </is>
      </c>
      <c r="B18">
        <f>COUNTIFS('Next Steps'!C25:C40,"Yes",'Next Steps'!A25:A40,"&lt;&gt;")</f>
        <v/>
      </c>
      <c r="C18" t="inlineStr">
        <is>
          <t>review</t>
        </is>
      </c>
      <c r="D18" t="inlineStr">
        <is>
          <t>INFO</t>
        </is>
      </c>
      <c r="E18" t="inlineStr">
        <is>
          <t>Case Owner</t>
        </is>
      </c>
    </row>
    <row r="19">
      <c r="A19" t="inlineStr">
        <is>
          <t>Decisions Missing Authority</t>
        </is>
      </c>
      <c r="B19">
        <f>COUNTIFS(Decisions!A6:A20,"&lt;&gt;",Decisions!F6:F20,"")</f>
        <v/>
      </c>
      <c r="C19" t="n">
        <v>0</v>
      </c>
      <c r="D19">
        <f>IF(B19=C19,"OK","CHECK")</f>
        <v/>
      </c>
      <c r="E19" t="inlineStr">
        <is>
          <t>Case Owner</t>
        </is>
      </c>
    </row>
    <row r="20">
      <c r="A20" t="inlineStr">
        <is>
          <t>Case Artifacts Missing Case ID</t>
        </is>
      </c>
      <c r="B20">
        <f>COUNTIFS('Artifact Registry'!A11:A13,"&lt;&gt;",'Artifact Registry'!P11:P13,"")</f>
        <v/>
      </c>
      <c r="C20" t="n">
        <v>0</v>
      </c>
      <c r="D20">
        <f>IF(B20=C20,"OK","CHECK")</f>
        <v/>
      </c>
      <c r="E20" t="inlineStr">
        <is>
          <t>Case Owner</t>
        </is>
      </c>
    </row>
    <row r="21">
      <c r="A21" t="inlineStr">
        <is>
          <t>Signals Held For Review</t>
        </is>
      </c>
      <c r="B21">
        <f>COUNTIF('Signal Intake'!L5:L60,"needs_review")</f>
        <v/>
      </c>
      <c r="C21" t="inlineStr">
        <is>
          <t>review</t>
        </is>
      </c>
      <c r="D21" t="inlineStr">
        <is>
          <t>INFO</t>
        </is>
      </c>
      <c r="E21" t="inlineStr">
        <is>
          <t>PJ Owner</t>
        </is>
      </c>
    </row>
    <row r="22">
      <c r="A22" t="inlineStr">
        <is>
          <t>Open Review Items</t>
        </is>
      </c>
      <c r="B22">
        <f>COUNTIF('Review Queue'!M5:M40,"Open")</f>
        <v/>
      </c>
      <c r="C22" t="inlineStr">
        <is>
          <t>review</t>
        </is>
      </c>
      <c r="D22" t="inlineStr">
        <is>
          <t>INFO</t>
        </is>
      </c>
      <c r="E22" t="inlineStr">
        <is>
          <t>Case Owner</t>
        </is>
      </c>
    </row>
    <row r="23">
      <c r="A23" t="inlineStr">
        <is>
          <t>Invalid Signal Rows</t>
        </is>
      </c>
      <c r="B23">
        <f>SUMPRODUCT(('Signal Intake'!A5:A60&lt;&gt;"")*('Signal Intake'!P5:P60="CHECK"))</f>
        <v/>
      </c>
      <c r="C23" t="n">
        <v>0</v>
      </c>
      <c r="D23">
        <f>IF(B23=C23,"OK","CHECK")</f>
        <v/>
      </c>
      <c r="E23" t="inlineStr">
        <is>
          <t>PJ Owner</t>
        </is>
      </c>
    </row>
    <row r="24">
      <c r="A24" t="inlineStr">
        <is>
          <t>Signals Missing Provenance</t>
        </is>
      </c>
      <c r="B24">
        <f>SUMPRODUCT(('Signal Intake'!A5:A60&lt;&gt;"")*(('Signal Intake'!C5:C60="")+('Signal Intake'!E5:E60="")&gt;0))</f>
        <v/>
      </c>
      <c r="C24" t="n">
        <v>0</v>
      </c>
      <c r="D24">
        <f>IF(B24=C24,"OK","CHECK")</f>
        <v/>
      </c>
      <c r="E24" t="inlineStr">
        <is>
          <t>PJ Owner</t>
        </is>
      </c>
    </row>
    <row r="25">
      <c r="A25" t="inlineStr">
        <is>
          <t>Unpreserved Signals</t>
        </is>
      </c>
      <c r="B25">
        <f>COUNTIFS('Signal Intake'!A5:A60,"&lt;&gt;",'Signal Intake'!N5:N60,"&lt;&gt;Yes")</f>
        <v/>
      </c>
      <c r="C25" t="n">
        <v>0</v>
      </c>
      <c r="D25">
        <f>IF(B25=C25,"OK","CHECK")</f>
        <v/>
      </c>
      <c r="E25" t="inlineStr">
        <is>
          <t>PJ Owner</t>
        </is>
      </c>
    </row>
    <row r="26">
      <c r="A26" t="inlineStr">
        <is>
          <t>Artifacts Missing Claim Status</t>
        </is>
      </c>
      <c r="B26">
        <f>COUNTIFS('Artifact Registry'!A5:A200,"&lt;&gt;",'Artifact Registry'!Q5:Q200,"")</f>
        <v/>
      </c>
      <c r="C26" t="n">
        <v>0</v>
      </c>
      <c r="D26">
        <f>IF(B26=C26,"OK","CHECK")</f>
        <v/>
      </c>
      <c r="E26" t="inlineStr">
        <is>
          <t>Product Owner</t>
        </is>
      </c>
    </row>
    <row r="27">
      <c r="A27" t="inlineStr">
        <is>
          <t>CONDITIONAL Claims Sealed to ARCHIEVE</t>
        </is>
      </c>
      <c r="B27">
        <f>COUNTIFS('Artifact Registry'!Q5:Q200,"CONDITIONAL",'Artifact Registry'!G5:G200,"ARCHIEVE")</f>
        <v/>
      </c>
      <c r="C27" t="n">
        <v>0</v>
      </c>
      <c r="D27">
        <f>IF(B27=C27,"OK","CHECK")</f>
        <v/>
      </c>
      <c r="E27" t="inlineStr">
        <is>
          <t>Product Owner</t>
        </is>
      </c>
    </row>
    <row r="28">
      <c r="A28" t="inlineStr">
        <is>
          <t>Vocabulary Drift vs Code</t>
        </is>
      </c>
      <c r="B28">
        <f>COUNTIF('Canon Registry'!G5:G22,"DRIFT")</f>
        <v/>
      </c>
      <c r="C28" t="n">
        <v>0</v>
      </c>
      <c r="D28">
        <f>IF(B28=C28,"OK","CHECK")</f>
        <v/>
      </c>
      <c r="E28" t="inlineStr">
        <is>
          <t>Product Owner</t>
        </is>
      </c>
    </row>
    <row r="29">
      <c r="A29" t="inlineStr">
        <is>
          <t>Signals Below Threshold Not Held</t>
        </is>
      </c>
      <c r="B29">
        <f>SUMPRODUCT(('Signal Intake'!A5:A60&lt;&gt;"")*('Signal Intake'!I5:I60&lt;ReviewThreshold)*('Signal Intake'!L5:L60&lt;&gt;"needs_review"))</f>
        <v/>
      </c>
      <c r="C29" t="n">
        <v>0</v>
      </c>
      <c r="D29">
        <f>IF(B29=C29,"OK","CHECK")</f>
        <v/>
      </c>
      <c r="E29" t="inlineStr">
        <is>
          <t>PJ Owner</t>
        </is>
      </c>
    </row>
    <row r="30">
      <c r="A30" t="inlineStr">
        <is>
          <t>Held Signals At Or Above Threshold</t>
        </is>
      </c>
      <c r="B30">
        <f>SUMPRODUCT(('Signal Intake'!A5:A60&lt;&gt;"")*('Signal Intake'!I5:I60&gt;=ReviewThreshold)*('Signal Intake'!L5:L60="needs_review"))</f>
        <v/>
      </c>
      <c r="C30" t="n">
        <v>0</v>
      </c>
      <c r="D30">
        <f>IF(B30=C30,"OK","CHECK")</f>
        <v/>
      </c>
      <c r="E30" t="inlineStr">
        <is>
          <t>PJ Owner</t>
        </is>
      </c>
    </row>
    <row r="31">
      <c r="A31" t="inlineStr">
        <is>
          <t>Events Missing PRR Kind</t>
        </is>
      </c>
      <c r="B31">
        <f>COUNTIFS('PJ Event Log'!A5:A200,"&lt;&gt;",'PJ Event Log'!R5:R200,"")</f>
        <v/>
      </c>
      <c r="C31" t="n">
        <v>0</v>
      </c>
      <c r="D31">
        <f>IF(B31=C31,"OK","CHECK")</f>
        <v/>
      </c>
      <c r="E31" t="inlineStr">
        <is>
          <t>PJ Owner</t>
        </is>
      </c>
    </row>
    <row r="32">
      <c r="A32" t="inlineStr">
        <is>
          <t>Artifacts Missing Sensitivity</t>
        </is>
      </c>
      <c r="B32">
        <f>COUNTIFS('Artifact Registry'!A5:A200,"&lt;&gt;",'Artifact Registry'!R5:R200,"")</f>
        <v/>
      </c>
      <c r="C32" t="n">
        <v>0</v>
      </c>
      <c r="D32">
        <f>IF(B32=C32,"OK","CHECK")</f>
        <v/>
      </c>
      <c r="E32" t="inlineStr">
        <is>
          <t>Product Owner</t>
        </is>
      </c>
    </row>
    <row r="33">
      <c r="A33" t="inlineStr">
        <is>
          <t>Confidential Artifacts in ARCHIEVE</t>
        </is>
      </c>
      <c r="B33">
        <f>COUNTIFS('Artifact Registry'!R5:R200,"confidential",'Artifact Registry'!G5:G200,"ARCHIEVE")</f>
        <v/>
      </c>
      <c r="C33" t="inlineStr">
        <is>
          <t>review</t>
        </is>
      </c>
      <c r="D33" t="inlineStr">
        <is>
          <t>INFO</t>
        </is>
      </c>
      <c r="E33" t="inlineStr">
        <is>
          <t>Records Access Officer</t>
        </is>
      </c>
    </row>
    <row r="34">
      <c r="A34" t="inlineStr">
        <is>
          <t>Vocabulary Spill (values below named range)</t>
        </is>
      </c>
      <c r="B34">
        <f>COUNTIF('Canon Registry'!K5:K22,"SPILL")</f>
        <v/>
      </c>
      <c r="C34" t="n">
        <v>0</v>
      </c>
      <c r="D34">
        <f>IF(B34=C34,"OK","CHECK")</f>
        <v/>
      </c>
      <c r="E34" t="inlineStr">
        <is>
          <t>Product Owner</t>
        </is>
      </c>
    </row>
    <row r="35">
      <c r="A35" t="inlineStr">
        <is>
          <t>Vocabulary Member Mismatch vs Code</t>
        </is>
      </c>
      <c r="B35">
        <f>COUNTIF('Canon Registry'!J5:J22,"DRIFT")</f>
        <v/>
      </c>
      <c r="C35" t="n">
        <v>0</v>
      </c>
      <c r="D35">
        <f>IF(B35=C35,"OK","CHECK")</f>
        <v/>
      </c>
      <c r="E35" t="inlineStr">
        <is>
          <t>Product Owner</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40" customWidth="1" min="2" max="2"/>
    <col width="20" customWidth="1" min="3" max="3"/>
    <col width="22" customWidth="1" min="4" max="4"/>
    <col width="26" customWidth="1" min="5" max="5"/>
    <col width="26" customWidth="1" min="6" max="6"/>
  </cols>
  <sheetData>
    <row r="1">
      <c r="A1" s="12" t="inlineStr">
        <is>
          <t>CaseSpace — CS-2026-01 — Kendall Pond</t>
        </is>
      </c>
    </row>
    <row r="2">
      <c r="A2" s="13" t="inlineStr">
        <is>
          <t>The case surface. Events live in the PJ Event Log, not here. This workbook is a working surface, never the system of record.</t>
        </is>
      </c>
    </row>
    <row r="4">
      <c r="A4" s="6" t="inlineStr">
        <is>
          <t>CASE</t>
        </is>
      </c>
      <c r="B4" s="7" t="n"/>
      <c r="C4" s="7" t="n"/>
      <c r="D4" s="7" t="n"/>
      <c r="E4" s="7" t="n"/>
      <c r="F4" s="7" t="n"/>
    </row>
    <row r="5">
      <c r="A5" s="14" t="inlineStr">
        <is>
          <t>Case ID</t>
        </is>
      </c>
      <c r="B5" t="inlineStr">
        <is>
          <t>CS-2026-01</t>
        </is>
      </c>
      <c r="D5" s="14" t="inlineStr">
        <is>
          <t>Review overdue?</t>
        </is>
      </c>
      <c r="E5">
        <f>IF(B12="","",IF(AND(B13="",B12&lt;TODAY()),"OVERDUE","OK"))</f>
        <v/>
      </c>
    </row>
    <row r="6">
      <c r="A6" s="14" t="inlineStr">
        <is>
          <t>Client</t>
        </is>
      </c>
      <c r="B6" t="inlineStr">
        <is>
          <t>Kendall Pond (Airbnb)</t>
        </is>
      </c>
    </row>
    <row r="7">
      <c r="A7" s="14" t="inlineStr">
        <is>
          <t>Lane / Domain</t>
        </is>
      </c>
      <c r="B7" t="inlineStr">
        <is>
          <t>STAY</t>
        </is>
      </c>
    </row>
    <row r="8">
      <c r="A8" s="14" t="inlineStr">
        <is>
          <t>Owner (role)</t>
        </is>
      </c>
      <c r="B8" t="inlineStr">
        <is>
          <t>Property Lead</t>
        </is>
      </c>
    </row>
    <row r="9">
      <c r="A9" s="14" t="inlineStr">
        <is>
          <t>Lifecycle</t>
        </is>
      </c>
      <c r="B9" t="inlineStr">
        <is>
          <t>CaseSpace</t>
        </is>
      </c>
    </row>
    <row r="10">
      <c r="A10" s="14" t="inlineStr">
        <is>
          <t>Status</t>
        </is>
      </c>
      <c r="B10" t="inlineStr">
        <is>
          <t>Active</t>
        </is>
      </c>
    </row>
    <row r="11">
      <c r="A11" s="14" t="inlineStr">
        <is>
          <t>Opened</t>
        </is>
      </c>
      <c r="B11" s="22" t="n">
        <v>46186</v>
      </c>
    </row>
    <row r="12">
      <c r="A12" s="14" t="inlineStr">
        <is>
          <t>Next review</t>
        </is>
      </c>
      <c r="B12" s="22" t="n">
        <v>46193</v>
      </c>
    </row>
    <row r="13">
      <c r="A13" s="14" t="inlineStr">
        <is>
          <t>Sealed / ARCHIEVE date</t>
        </is>
      </c>
    </row>
    <row r="15">
      <c r="A15" s="6" t="inlineStr">
        <is>
          <t>CASE ROLLUP  (live — derived from the governance layer)</t>
        </is>
      </c>
      <c r="B15" s="7" t="n"/>
      <c r="C15" s="7" t="n"/>
      <c r="D15" s="7" t="n"/>
      <c r="E15" s="7" t="n"/>
      <c r="F15" s="7" t="n"/>
    </row>
    <row r="16">
      <c r="A16" t="inlineStr">
        <is>
          <t>Registered artifacts in case</t>
        </is>
      </c>
      <c r="B16">
        <f>COUNTIF('Artifact Registry'!$P$5:$P$200,$B$5)</f>
        <v/>
      </c>
    </row>
    <row r="17">
      <c r="A17" t="inlineStr">
        <is>
          <t>Events logged for case</t>
        </is>
      </c>
      <c r="B17">
        <f>COUNTIF('PJ Event Log'!$Q$5:$Q$200,$B$5)</f>
        <v/>
      </c>
    </row>
    <row r="18">
      <c r="A18" t="inlineStr">
        <is>
          <t>Unresolved critical events</t>
        </is>
      </c>
      <c r="B18">
        <f>COUNTIFS('PJ Event Log'!$Q$5:$Q$200,$B$5,'PJ Event Log'!$L$5:$L$200,"Critical",'PJ Event Log'!$P$5:$P$200,"No")</f>
        <v/>
      </c>
    </row>
    <row r="19">
      <c r="A19" t="inlineStr">
        <is>
          <t>High-risk artifacts</t>
        </is>
      </c>
      <c r="B19">
        <f>COUNTIFS('Artifact Registry'!$P$5:$P$200,$B$5,'Artifact Registry'!$O$5:$O$200,"High")</f>
        <v/>
      </c>
    </row>
    <row r="20">
      <c r="A20" t="inlineStr">
        <is>
          <t>Open evidence requests</t>
        </is>
      </c>
      <c r="B20">
        <f>COUNTIF(Documents!$D$10:$D$40,"Requested")</f>
        <v/>
      </c>
    </row>
    <row r="21">
      <c r="A21" t="inlineStr">
        <is>
          <t>Overdue evidence requests</t>
        </is>
      </c>
      <c r="B21">
        <f>COUNTIF(Documents!$G$10:$G$40,"OVERDUE")</f>
        <v/>
      </c>
    </row>
    <row r="22">
      <c r="A22" t="inlineStr">
        <is>
          <t>PRM items blocking closeout</t>
        </is>
      </c>
      <c r="B22">
        <f>COUNTIFS('Next Steps'!$C$25:$C$40,"Yes",'Next Steps'!$A$25:$A$40,"&lt;&gt;")</f>
        <v/>
      </c>
    </row>
    <row r="23">
      <c r="A23" t="inlineStr">
        <is>
          <t>Blocked tasks</t>
        </is>
      </c>
      <c r="B23">
        <f>COUNTIF('Next Steps'!$D$7:$D$20,"Blocked")</f>
        <v/>
      </c>
    </row>
    <row r="25">
      <c r="A25" s="14" t="inlineStr">
        <is>
          <t>CLOSEOUT READY?</t>
        </is>
      </c>
      <c r="B25">
        <f>IF(AND(B18=0,B21=0,B22=0),"READY TO SEAL","NOT READY")</f>
        <v/>
      </c>
      <c r="C25">
        <f>IF(B25="READY TO SEAL","OK","ACTION")</f>
        <v/>
      </c>
      <c r="D25" t="inlineStr">
        <is>
          <t>Seal only when no unresolved criticals, no overdue evidence, and no PRM blockers.</t>
        </is>
      </c>
    </row>
    <row r="27">
      <c r="A27" s="6" t="inlineStr">
        <is>
          <t>WEEKLY DIGEST — four lines, nothing more</t>
        </is>
      </c>
      <c r="B27" s="7" t="n"/>
      <c r="C27" s="7" t="n"/>
      <c r="D27" s="7" t="n"/>
      <c r="E27" s="7" t="n"/>
      <c r="F27" s="7" t="n"/>
    </row>
    <row r="28">
      <c r="A28" s="14" t="inlineStr">
        <is>
          <t>What happened</t>
        </is>
      </c>
    </row>
    <row r="29">
      <c r="A29" s="14" t="inlineStr">
        <is>
          <t>What's missing</t>
        </is>
      </c>
    </row>
    <row r="30">
      <c r="A30" s="14" t="inlineStr">
        <is>
          <t>What's next</t>
        </is>
      </c>
    </row>
    <row r="31">
      <c r="A31" s="14" t="inlineStr">
        <is>
          <t>Who owes what</t>
        </is>
      </c>
    </row>
    <row r="33">
      <c r="A33" s="6" t="inlineStr">
        <is>
          <t>RECORDSTREAM</t>
        </is>
      </c>
      <c r="B33" s="7" t="n"/>
      <c r="C33" s="7" t="n"/>
      <c r="D33" s="7" t="n"/>
      <c r="E33" s="7" t="n"/>
      <c r="F33" s="7" t="n"/>
    </row>
    <row r="34">
      <c r="A34" s="16" t="inlineStr">
        <is>
          <t>The PRR (PuddleJumper Runtime Recordstream) is the PJ Event Log sheet, filtered on Case ID = CS-2026-01. There is no second event log. Append events there using the closed vocabulary; never edit a past row.</t>
        </is>
      </c>
    </row>
    <row r="35"/>
    <row r="36"/>
  </sheetData>
  <mergeCells count="1">
    <mergeCell ref="A34:F3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40" customWidth="1" min="2" max="2"/>
    <col width="20" customWidth="1" min="3" max="3"/>
    <col width="22" customWidth="1" min="4" max="4"/>
    <col width="26" customWidth="1" min="5" max="5"/>
    <col width="26" customWidth="1" min="6" max="6"/>
  </cols>
  <sheetData>
    <row r="1">
      <c r="A1" s="12" t="inlineStr">
        <is>
          <t>Intake — Source Profile + FORM</t>
        </is>
      </c>
    </row>
    <row r="2">
      <c r="A2" s="13" t="inlineStr">
        <is>
          <t>Step 1 seed clues, then the FORM. Capture ONLY the five fields. Nothing else.</t>
        </is>
      </c>
    </row>
    <row r="4">
      <c r="A4" s="6" t="inlineStr">
        <is>
          <t>SOURCE PROFILE</t>
        </is>
      </c>
      <c r="B4" s="7" t="n"/>
      <c r="C4" s="7" t="n"/>
      <c r="D4" s="7" t="n"/>
      <c r="E4" s="7" t="n"/>
      <c r="F4" s="7" t="n"/>
    </row>
    <row r="5">
      <c r="A5" s="14" t="inlineStr">
        <is>
          <t>What it is</t>
        </is>
      </c>
      <c r="B5" t="inlineStr">
        <is>
          <t>Short-term rental property — Kendall Pond</t>
        </is>
      </c>
    </row>
    <row r="6">
      <c r="A6" s="14" t="inlineStr">
        <is>
          <t>Where it came from</t>
        </is>
      </c>
      <c r="B6" t="inlineStr">
        <is>
          <t>Airbnb listing + iCal</t>
        </is>
      </c>
    </row>
    <row r="7">
      <c r="A7" s="14" t="inlineStr">
        <is>
          <t>Identity / asset clues</t>
        </is>
      </c>
    </row>
    <row r="8">
      <c r="A8" s="14" t="inlineStr">
        <is>
          <t>Document clues</t>
        </is>
      </c>
    </row>
    <row r="9">
      <c r="A9" s="14" t="inlineStr">
        <is>
          <t>Process clues</t>
        </is>
      </c>
    </row>
    <row r="11">
      <c r="A11" s="6" t="inlineStr">
        <is>
          <t>FORM — the five fields, the only front door</t>
        </is>
      </c>
      <c r="B11" s="7" t="n"/>
      <c r="C11" s="7" t="n"/>
      <c r="D11" s="7" t="n"/>
      <c r="E11" s="7" t="n"/>
      <c r="F11" s="7" t="n"/>
    </row>
    <row r="12">
      <c r="A12" s="14" t="inlineStr">
        <is>
          <t>FormKey (Artifact ID)</t>
        </is>
      </c>
      <c r="B12" t="inlineStr">
        <is>
          <t>PL-STAY-CASE-2026-00001</t>
        </is>
      </c>
    </row>
    <row r="13">
      <c r="A13" s="14" t="inlineStr">
        <is>
          <t>Who</t>
        </is>
      </c>
    </row>
    <row r="14">
      <c r="A14" s="14" t="inlineStr">
        <is>
          <t>What</t>
        </is>
      </c>
    </row>
    <row r="15">
      <c r="A15" s="14" t="inlineStr">
        <is>
          <t>Desired outcome</t>
        </is>
      </c>
    </row>
    <row r="16">
      <c r="A16" s="14" t="inlineStr">
        <is>
          <t>Deadline</t>
        </is>
      </c>
    </row>
    <row r="17">
      <c r="A17" s="14" t="inlineStr">
        <is>
          <t>Source</t>
        </is>
      </c>
    </row>
    <row r="19">
      <c r="A19" s="14" t="inlineStr">
        <is>
          <t>FORM registered?</t>
        </is>
      </c>
      <c r="B19">
        <f>IF(COUNTIF('Artifact Registry'!$A$5:$A$200,$B$12)&gt;0,"REGISTERED","UNREGISTERED — add to Artifact Registry")</f>
        <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40" customWidth="1" min="2" max="2"/>
    <col width="20" customWidth="1" min="3" max="3"/>
    <col width="22" customWidth="1" min="4" max="4"/>
    <col width="26" customWidth="1" min="5" max="5"/>
    <col width="26" customWidth="1" min="6" max="6"/>
    <col width="14" customWidth="1" min="7" max="7"/>
  </cols>
  <sheetData>
    <row r="1">
      <c r="A1" s="12" t="inlineStr">
        <is>
          <t>Documents + Evidence</t>
        </is>
      </c>
    </row>
    <row r="2">
      <c r="A2" s="13" t="inlineStr">
        <is>
          <t>Files live in the Drive folder. Missing proof = ONE Evidence Request, with an owner and a due date.</t>
        </is>
      </c>
    </row>
    <row r="4">
      <c r="A4" s="14" t="inlineStr">
        <is>
          <t>Drive folder link</t>
        </is>
      </c>
      <c r="B4" t="inlineStr">
        <is>
          <t>[ paste Drive folder URL ]</t>
        </is>
      </c>
    </row>
    <row r="6">
      <c r="A6" s="6" t="inlineStr">
        <is>
          <t>EVIDENCE REQUESTS</t>
        </is>
      </c>
      <c r="B6" s="7" t="n"/>
      <c r="C6" s="7" t="n"/>
      <c r="D6" s="7" t="n"/>
      <c r="E6" s="7" t="n"/>
      <c r="F6" s="7" t="n"/>
    </row>
    <row r="9">
      <c r="A9" s="14" t="inlineStr">
        <is>
          <t>Evidence Request ID</t>
        </is>
      </c>
      <c r="B9" s="14" t="inlineStr">
        <is>
          <t>Item (what proof is missing)</t>
        </is>
      </c>
      <c r="C9" s="14" t="inlineStr">
        <is>
          <t>Owner (role)</t>
        </is>
      </c>
      <c r="D9" s="14" t="inlineStr">
        <is>
          <t>Status</t>
        </is>
      </c>
      <c r="E9" s="14" t="inlineStr">
        <is>
          <t>Due</t>
        </is>
      </c>
      <c r="F9" s="14" t="inlineStr">
        <is>
          <t>Response (link)</t>
        </is>
      </c>
      <c r="G9" s="14" t="inlineStr">
        <is>
          <t>Overdue?</t>
        </is>
      </c>
    </row>
    <row r="10">
      <c r="A10" t="inlineStr">
        <is>
          <t>PL-STAY-CASE-2026-00002</t>
        </is>
      </c>
      <c r="B10" t="inlineStr">
        <is>
          <t>Turnover photos for 06-15 checkout</t>
        </is>
      </c>
      <c r="C10" t="inlineStr">
        <is>
          <t>Cleaner</t>
        </is>
      </c>
      <c r="D10" t="inlineStr">
        <is>
          <t>Requested</t>
        </is>
      </c>
      <c r="E10" s="22" t="n">
        <v>46189</v>
      </c>
      <c r="F10" t="inlineStr">
        <is>
          <t>Drive: Evidence/</t>
        </is>
      </c>
      <c r="G10">
        <f>IF(OR(A10="",E10=""),"",IF(AND(D10="Requested",E10&lt;TODAY()),"OVERDUE","OK"))</f>
        <v/>
      </c>
    </row>
    <row r="11">
      <c r="G11">
        <f>IF(OR(A11="",E11=""),"",IF(AND(D11="Requested",E11&lt;TODAY()),"OVERDUE","OK"))</f>
        <v/>
      </c>
    </row>
    <row r="12">
      <c r="G12">
        <f>IF(OR(A12="",E12=""),"",IF(AND(D12="Requested",E12&lt;TODAY()),"OVERDUE","OK"))</f>
        <v/>
      </c>
    </row>
    <row r="13">
      <c r="G13">
        <f>IF(OR(A13="",E13=""),"",IF(AND(D13="Requested",E13&lt;TODAY()),"OVERDUE","OK"))</f>
        <v/>
      </c>
    </row>
    <row r="14">
      <c r="G14">
        <f>IF(OR(A14="",E14=""),"",IF(AND(D14="Requested",E14&lt;TODAY()),"OVERDUE","OK"))</f>
        <v/>
      </c>
    </row>
    <row r="15">
      <c r="G15">
        <f>IF(OR(A15="",E15=""),"",IF(AND(D15="Requested",E15&lt;TODAY()),"OVERDUE","OK"))</f>
        <v/>
      </c>
    </row>
    <row r="16">
      <c r="G16">
        <f>IF(OR(A16="",E16=""),"",IF(AND(D16="Requested",E16&lt;TODAY()),"OVERDUE","OK"))</f>
        <v/>
      </c>
    </row>
    <row r="17">
      <c r="G17">
        <f>IF(OR(A17="",E17=""),"",IF(AND(D17="Requested",E17&lt;TODAY()),"OVERDUE","OK"))</f>
        <v/>
      </c>
    </row>
    <row r="18">
      <c r="G18">
        <f>IF(OR(A18="",E18=""),"",IF(AND(D18="Requested",E18&lt;TODAY()),"OVERDUE","OK"))</f>
        <v/>
      </c>
    </row>
    <row r="19">
      <c r="G19">
        <f>IF(OR(A19="",E19=""),"",IF(AND(D19="Requested",E19&lt;TODAY()),"OVERDUE","OK"))</f>
        <v/>
      </c>
    </row>
    <row r="20">
      <c r="G20">
        <f>IF(OR(A20="",E20=""),"",IF(AND(D20="Requested",E20&lt;TODAY()),"OVERDUE","OK"))</f>
        <v/>
      </c>
    </row>
    <row r="21">
      <c r="G21">
        <f>IF(OR(A21="",E21=""),"",IF(AND(D21="Requested",E21&lt;TODAY()),"OVERDUE","OK"))</f>
        <v/>
      </c>
    </row>
    <row r="22">
      <c r="G22">
        <f>IF(OR(A22="",E22=""),"",IF(AND(D22="Requested",E22&lt;TODAY()),"OVERDUE","OK"))</f>
        <v/>
      </c>
    </row>
    <row r="23">
      <c r="G23">
        <f>IF(OR(A23="",E23=""),"",IF(AND(D23="Requested",E23&lt;TODAY()),"OVERDUE","OK"))</f>
        <v/>
      </c>
    </row>
    <row r="24">
      <c r="G24">
        <f>IF(OR(A24="",E24=""),"",IF(AND(D24="Requested",E24&lt;TODAY()),"OVERDUE","OK"))</f>
        <v/>
      </c>
    </row>
    <row r="25">
      <c r="G25">
        <f>IF(OR(A25="",E25=""),"",IF(AND(D25="Requested",E25&lt;TODAY()),"OVERDUE","OK"))</f>
        <v/>
      </c>
    </row>
    <row r="26">
      <c r="G26">
        <f>IF(OR(A26="",E26=""),"",IF(AND(D26="Requested",E26&lt;TODAY()),"OVERDUE","OK"))</f>
        <v/>
      </c>
    </row>
    <row r="27">
      <c r="G27">
        <f>IF(OR(A27="",E27=""),"",IF(AND(D27="Requested",E27&lt;TODAY()),"OVERDUE","OK"))</f>
        <v/>
      </c>
    </row>
    <row r="28">
      <c r="G28">
        <f>IF(OR(A28="",E28=""),"",IF(AND(D28="Requested",E28&lt;TODAY()),"OVERDUE","OK"))</f>
        <v/>
      </c>
    </row>
    <row r="29">
      <c r="G29">
        <f>IF(OR(A29="",E29=""),"",IF(AND(D29="Requested",E29&lt;TODAY()),"OVERDUE","OK"))</f>
        <v/>
      </c>
    </row>
    <row r="30">
      <c r="G30">
        <f>IF(OR(A30="",E30=""),"",IF(AND(D30="Requested",E30&lt;TODAY()),"OVERDUE","OK"))</f>
        <v/>
      </c>
    </row>
    <row r="31">
      <c r="G31">
        <f>IF(OR(A31="",E31=""),"",IF(AND(D31="Requested",E31&lt;TODAY()),"OVERDUE","OK"))</f>
        <v/>
      </c>
    </row>
    <row r="32">
      <c r="G32">
        <f>IF(OR(A32="",E32=""),"",IF(AND(D32="Requested",E32&lt;TODAY()),"OVERDUE","OK"))</f>
        <v/>
      </c>
    </row>
    <row r="33">
      <c r="G33">
        <f>IF(OR(A33="",E33=""),"",IF(AND(D33="Requested",E33&lt;TODAY()),"OVERDUE","OK"))</f>
        <v/>
      </c>
    </row>
    <row r="34">
      <c r="G34">
        <f>IF(OR(A34="",E34=""),"",IF(AND(D34="Requested",E34&lt;TODAY()),"OVERDUE","OK"))</f>
        <v/>
      </c>
    </row>
    <row r="35">
      <c r="G35">
        <f>IF(OR(A35="",E35=""),"",IF(AND(D35="Requested",E35&lt;TODAY()),"OVERDUE","OK"))</f>
        <v/>
      </c>
    </row>
    <row r="36">
      <c r="G36">
        <f>IF(OR(A36="",E36=""),"",IF(AND(D36="Requested",E36&lt;TODAY()),"OVERDUE","OK"))</f>
        <v/>
      </c>
    </row>
    <row r="37">
      <c r="G37">
        <f>IF(OR(A37="",E37=""),"",IF(AND(D37="Requested",E37&lt;TODAY()),"OVERDUE","OK"))</f>
        <v/>
      </c>
    </row>
    <row r="38">
      <c r="G38">
        <f>IF(OR(A38="",E38=""),"",IF(AND(D38="Requested",E38&lt;TODAY()),"OVERDUE","OK"))</f>
        <v/>
      </c>
    </row>
    <row r="39">
      <c r="G39">
        <f>IF(OR(A39="",E39=""),"",IF(AND(D39="Requested",E39&lt;TODAY()),"OVERDUE","OK"))</f>
        <v/>
      </c>
    </row>
    <row r="40">
      <c r="G40">
        <f>IF(OR(A40="",E40=""),"",IF(AND(D40="Requested",E40&lt;TODAY()),"OVERDUE","OK"))</f>
        <v/>
      </c>
    </row>
    <row r="43">
      <c r="A43" t="inlineStr">
        <is>
          <t>Evidence Request IDs are Artifact IDs. Register each one in the Artifact Registry under Family = Source &amp; Evidence, and log an EvidenceGapDetected event against it.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40" customWidth="1" min="2" max="2"/>
    <col width="20" customWidth="1" min="3" max="3"/>
    <col width="22" customWidth="1" min="4" max="4"/>
    <col width="26" customWidth="1" min="5" max="5"/>
    <col width="26" customWidth="1" min="6" max="6"/>
  </cols>
  <sheetData>
    <row r="1">
      <c r="A1" s="12" t="inlineStr">
        <is>
          <t>Decisions + CAL</t>
        </is>
      </c>
    </row>
    <row r="2">
      <c r="A2" s="13" t="inlineStr">
        <is>
          <t>CAL = Can Action proceed? Log every "no" and who must act. Basis is the reasoning; Authority is who was entitled to decide.</t>
        </is>
      </c>
    </row>
    <row r="4">
      <c r="A4" s="6" t="inlineStr">
        <is>
          <t>DECISION LOG</t>
        </is>
      </c>
      <c r="B4" s="7" t="n"/>
      <c r="C4" s="7" t="n"/>
      <c r="D4" s="7" t="n"/>
      <c r="E4" s="7" t="n"/>
      <c r="F4" s="7" t="n"/>
    </row>
    <row r="5">
      <c r="A5" s="14" t="inlineStr">
        <is>
          <t>Decision ID (Artifact ID)</t>
        </is>
      </c>
      <c r="B5" s="14" t="inlineStr">
        <is>
          <t>Date</t>
        </is>
      </c>
      <c r="C5" s="14" t="inlineStr">
        <is>
          <t>Decision</t>
        </is>
      </c>
      <c r="D5" s="14" t="inlineStr">
        <is>
          <t>Owner (role)</t>
        </is>
      </c>
      <c r="E5" s="14" t="inlineStr">
        <is>
          <t>Basis</t>
        </is>
      </c>
      <c r="F5" s="14" t="inlineStr">
        <is>
          <t>Authority</t>
        </is>
      </c>
    </row>
    <row r="6">
      <c r="A6" t="inlineStr">
        <is>
          <t>PL-STAY-CASE-2026-00003</t>
        </is>
      </c>
      <c r="B6" s="22" t="n">
        <v>46186</v>
      </c>
      <c r="C6" t="inlineStr">
        <is>
          <t>Use view-only guestbook, no PMS</t>
        </is>
      </c>
      <c r="D6" t="inlineStr">
        <is>
          <t>Property Lead</t>
        </is>
      </c>
      <c r="E6" t="inlineStr">
        <is>
          <t>Scope guard: STAY stays thin</t>
        </is>
      </c>
      <c r="F6" t="inlineStr">
        <is>
          <t>Internal operating policy</t>
        </is>
      </c>
    </row>
    <row r="22">
      <c r="A22" s="6" t="inlineStr">
        <is>
          <t>CAL — Can Action proceed?  (record every "no")</t>
        </is>
      </c>
      <c r="B22" s="7" t="n"/>
      <c r="C22" s="7" t="n"/>
      <c r="D22" s="7" t="n"/>
      <c r="E22" s="7" t="n"/>
      <c r="F22" s="7" t="n"/>
    </row>
    <row r="23">
      <c r="A23" s="14" t="inlineStr">
        <is>
          <t>Date</t>
        </is>
      </c>
      <c r="B23" s="14" t="inlineStr">
        <is>
          <t>Action attempted</t>
        </is>
      </c>
      <c r="C23" s="14" t="inlineStr">
        <is>
          <t>Can proceed? (Y/N)</t>
        </is>
      </c>
      <c r="D23" s="14" t="inlineStr">
        <is>
          <t>Why / who must act</t>
        </is>
      </c>
    </row>
    <row r="24">
      <c r="A24" s="22" t="n">
        <v>46187</v>
      </c>
      <c r="B24" t="inlineStr">
        <is>
          <t>Confirm 06-15 turnover</t>
        </is>
      </c>
      <c r="C24" t="inlineStr">
        <is>
          <t>No</t>
        </is>
      </c>
      <c r="D24" t="inlineStr">
        <is>
          <t>Cleaner not yet assigned</t>
        </is>
      </c>
    </row>
    <row r="43">
      <c r="A43" t="inlineStr">
        <is>
          <t>Citation canon: M.G.L. c. NN, § NN · N C.F.R. § NNN · otherwise plain language. See Control!A37.</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40" customWidth="1" min="2" max="2"/>
    <col width="20" customWidth="1" min="3" max="3"/>
    <col width="22" customWidth="1" min="4" max="4"/>
    <col width="26" customWidth="1" min="5" max="5"/>
    <col width="26" customWidth="1" min="6" max="6"/>
  </cols>
  <sheetData>
    <row r="1">
      <c r="A1" s="12" t="inlineStr">
        <is>
          <t>Next Steps — Tasks + PRM</t>
        </is>
      </c>
    </row>
    <row r="2">
      <c r="A2" s="13" t="inlineStr">
        <is>
          <t>Tasks turn governance into motion. PRM = Pre-Release Missing: what is still missing before we can close?</t>
        </is>
      </c>
    </row>
    <row r="4">
      <c r="A4" s="6" t="inlineStr">
        <is>
          <t>TASKS</t>
        </is>
      </c>
      <c r="B4" s="7" t="n"/>
      <c r="C4" s="7" t="n"/>
      <c r="D4" s="7" t="n"/>
      <c r="E4" s="7" t="n"/>
      <c r="F4" s="7" t="n"/>
    </row>
    <row r="6">
      <c r="A6" s="14" t="inlineStr">
        <is>
          <t>Task</t>
        </is>
      </c>
      <c r="B6" s="14" t="inlineStr">
        <is>
          <t>Owner (role)</t>
        </is>
      </c>
      <c r="C6" s="14" t="inlineStr">
        <is>
          <t>Due</t>
        </is>
      </c>
      <c r="D6" s="14" t="inlineStr">
        <is>
          <t>Status</t>
        </is>
      </c>
      <c r="E6" s="14" t="inlineStr">
        <is>
          <t>Dependency</t>
        </is>
      </c>
    </row>
    <row r="7">
      <c r="A7" t="inlineStr">
        <is>
          <t>Set up turnover checklist</t>
        </is>
      </c>
      <c r="B7" t="inlineStr">
        <is>
          <t>Property Lead</t>
        </is>
      </c>
      <c r="C7" s="22" t="n">
        <v>46187</v>
      </c>
      <c r="D7" t="inlineStr">
        <is>
          <t>Not started</t>
        </is>
      </c>
      <c r="E7" t="inlineStr">
        <is>
          <t>FORM done</t>
        </is>
      </c>
    </row>
    <row r="23">
      <c r="A23" s="6" t="inlineStr">
        <is>
          <t>PRM — what is missing before we can close?</t>
        </is>
      </c>
      <c r="B23" s="7" t="n"/>
      <c r="C23" s="7" t="n"/>
      <c r="D23" s="7" t="n"/>
      <c r="E23" s="7" t="n"/>
      <c r="F23" s="7" t="n"/>
    </row>
    <row r="24">
      <c r="A24" s="14" t="inlineStr">
        <is>
          <t>Missing item</t>
        </is>
      </c>
      <c r="B24" s="14" t="inlineStr">
        <is>
          <t>Owner (role)</t>
        </is>
      </c>
      <c r="C24" s="14" t="inlineStr">
        <is>
          <t>Blocks closeout? (Y/N)</t>
        </is>
      </c>
    </row>
    <row r="25">
      <c r="A25" t="inlineStr">
        <is>
          <t>Owner sign-off on guestbook</t>
        </is>
      </c>
      <c r="B25" t="inlineStr">
        <is>
          <t>Property Lead</t>
        </is>
      </c>
      <c r="C2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2026-07-09T12:34:59Z</dcterms:created>
  <dcterms:modified xsi:type="dcterms:W3CDTF">2026-07-11T00:52:16Z</dcterms:modified>
</cp:coreProperties>
</file>